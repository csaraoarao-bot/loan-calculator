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han2\Dropbox\PC\Desktop\"/>
    </mc:Choice>
  </mc:AlternateContent>
  <xr:revisionPtr revIDLastSave="0" documentId="13_ncr:1_{9E5A4D87-C6B0-411E-BC1E-618AD4A7E4F2}" xr6:coauthVersionLast="47" xr6:coauthVersionMax="47" xr10:uidLastSave="{00000000-0000-0000-0000-000000000000}"/>
  <workbookProtection workbookAlgorithmName="SHA-512" workbookHashValue="NlSZ38Zc3cCHIHT0nHOFCtKLCnRJnAMUU+LizS6hwd+S7s4rF/qIascVEoEFQtOQvaCZTOFmNY1ysXoC5He9lw==" workbookSaltValue="dsPDBGNtG3EoemyCF0Y98g==" workbookSpinCount="100000" lockStructure="1"/>
  <bookViews>
    <workbookView xWindow="-110" yWindow="-110" windowWidth="19420" windowHeight="10300" tabRatio="942" firstSheet="1" activeTab="1" xr2:uid="{00000000-000D-0000-FFFF-FFFF00000000}"/>
  </bookViews>
  <sheets>
    <sheet name="GOV'T AGENCIES" sheetId="95" state="hidden" r:id="rId1"/>
    <sheet name="NEW BORROWER" sheetId="98" r:id="rId2"/>
    <sheet name="DAR" sheetId="96" state="hidden" r:id="rId3"/>
    <sheet name="GOV'T AGENCIES (2)" sheetId="97" state="hidden" r:id="rId4"/>
    <sheet name="WITH LOAN-TAKE-OUT" sheetId="94" state="hidden" r:id="rId5"/>
    <sheet name="LOANABLE AMOUNT-REGULAR" sheetId="92" state="hidden" r:id="rId6"/>
    <sheet name="LOANABLE AMOUNT- DAR" sheetId="93" state="hidden" r:id="rId7"/>
    <sheet name="Signatories" sheetId="91" state="hidden" r:id="rId8"/>
    <sheet name="INPUT FIELDS" sheetId="68" state="hidden" r:id="rId9"/>
    <sheet name="COMPUTATION SHEET" sheetId="67" state="hidden" r:id="rId10"/>
    <sheet name="RSLP - FORM A" sheetId="2" state="hidden" r:id="rId11"/>
    <sheet name="NFIS REQUEST" sheetId="69" state="hidden" r:id="rId12"/>
    <sheet name="3YR TERM" sheetId="5" state="hidden" r:id="rId13"/>
    <sheet name="2YR TERM" sheetId="4" state="hidden" r:id="rId14"/>
    <sheet name="1YR TERM" sheetId="1" state="hidden" r:id="rId15"/>
    <sheet name="NOTICE OF APPROVAL and PNs" sheetId="71" state="hidden" r:id="rId16"/>
    <sheet name="2" sheetId="72" state="hidden" r:id="rId17"/>
    <sheet name="3" sheetId="73" state="hidden" r:id="rId18"/>
    <sheet name="4" sheetId="74" state="hidden" r:id="rId19"/>
    <sheet name="5" sheetId="75" state="hidden" r:id="rId20"/>
    <sheet name="6" sheetId="76" state="hidden" r:id="rId21"/>
    <sheet name="7" sheetId="77" state="hidden" r:id="rId22"/>
    <sheet name="8" sheetId="78" state="hidden" r:id="rId23"/>
    <sheet name="9" sheetId="79" state="hidden" r:id="rId24"/>
    <sheet name="10" sheetId="80" state="hidden" r:id="rId25"/>
    <sheet name="11" sheetId="81" state="hidden" r:id="rId26"/>
    <sheet name="12" sheetId="82" state="hidden" r:id="rId27"/>
    <sheet name="13" sheetId="83" state="hidden" r:id="rId28"/>
    <sheet name="14" sheetId="84" state="hidden" r:id="rId29"/>
    <sheet name="15" sheetId="85" state="hidden" r:id="rId30"/>
    <sheet name="16" sheetId="86" state="hidden" r:id="rId31"/>
    <sheet name="17" sheetId="87" state="hidden" r:id="rId32"/>
    <sheet name="18" sheetId="88" state="hidden" r:id="rId33"/>
    <sheet name="19" sheetId="89" state="hidden" r:id="rId34"/>
    <sheet name="20" sheetId="90" state="hidden" r:id="rId35"/>
  </sheets>
  <definedNames>
    <definedName name="_xlnm.Print_Area" localSheetId="24">'10'!$B$1:$N$42</definedName>
    <definedName name="_xlnm.Print_Area" localSheetId="25">'11'!$B$1:$N$42</definedName>
    <definedName name="_xlnm.Print_Area" localSheetId="26">'12'!$B$1:$N$42</definedName>
    <definedName name="_xlnm.Print_Area" localSheetId="27">'13'!$B$1:$N$42</definedName>
    <definedName name="_xlnm.Print_Area" localSheetId="28">'14'!$B$1:$N$42</definedName>
    <definedName name="_xlnm.Print_Area" localSheetId="29">'15'!$B$1:$N$42</definedName>
    <definedName name="_xlnm.Print_Area" localSheetId="30">'16'!$B$1:$N$42</definedName>
    <definedName name="_xlnm.Print_Area" localSheetId="31">'17'!$B$1:$N$42</definedName>
    <definedName name="_xlnm.Print_Area" localSheetId="32">'18'!$B$1:$N$42</definedName>
    <definedName name="_xlnm.Print_Area" localSheetId="33">'19'!$B$1:$N$42</definedName>
    <definedName name="_xlnm.Print_Area" localSheetId="14">'1YR TERM'!$A$2:$H$85</definedName>
    <definedName name="_xlnm.Print_Area" localSheetId="16">'2'!$B$1:$N$42</definedName>
    <definedName name="_xlnm.Print_Area" localSheetId="34">'20'!$B$1:$N$42</definedName>
    <definedName name="_xlnm.Print_Area" localSheetId="13">'2YR TERM'!$A$2:$H$85</definedName>
    <definedName name="_xlnm.Print_Area" localSheetId="17">'3'!$B$1:$N$42</definedName>
    <definedName name="_xlnm.Print_Area" localSheetId="12">'3YR TERM'!$A$2:$H$85</definedName>
    <definedName name="_xlnm.Print_Area" localSheetId="18">'4'!$B$1:$N$42</definedName>
    <definedName name="_xlnm.Print_Area" localSheetId="19">'5'!$B$1:$N$42</definedName>
    <definedName name="_xlnm.Print_Area" localSheetId="20">'6'!$B$1:$N$42</definedName>
    <definedName name="_xlnm.Print_Area" localSheetId="21">'7'!$B$1:$N$42</definedName>
    <definedName name="_xlnm.Print_Area" localSheetId="22">'8'!$B$1:$N$42</definedName>
    <definedName name="_xlnm.Print_Area" localSheetId="23">'9'!$B$1:$N$42</definedName>
    <definedName name="_xlnm.Print_Area" localSheetId="9">'COMPUTATION SHEET'!$E$1:$AC$68</definedName>
    <definedName name="_xlnm.Print_Area" localSheetId="2">DAR!$E$8:$N$24</definedName>
    <definedName name="_xlnm.Print_Area" localSheetId="0">'GOV''T AGENCIES'!$E$8:$N$33</definedName>
    <definedName name="_xlnm.Print_Area" localSheetId="3">'GOV''T AGENCIES (2)'!$E$8:$N$24</definedName>
    <definedName name="_xlnm.Print_Area" localSheetId="6">'LOANABLE AMOUNT- DAR'!$E$17:$I$22</definedName>
    <definedName name="_xlnm.Print_Area" localSheetId="5">'LOANABLE AMOUNT-REGULAR'!$E$8:$N$24</definedName>
    <definedName name="_xlnm.Print_Area" localSheetId="11">'NFIS REQUEST'!$B$3:$J$63</definedName>
    <definedName name="_xlnm.Print_Area" localSheetId="15">'NOTICE OF APPROVAL and PNs'!$B$1:$II$90</definedName>
    <definedName name="_xlnm.Print_Area" localSheetId="10">'RSLP - FORM A'!$C$3:$O$63</definedName>
    <definedName name="_xlnm.Print_Area" localSheetId="4">'WITH LOAN-TAKE-OUT'!$E$8:$N$24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95" l="1"/>
  <c r="F58" i="95"/>
  <c r="F59" i="95" s="1"/>
  <c r="F56" i="95"/>
  <c r="F51" i="95"/>
  <c r="F46" i="95"/>
  <c r="S13" i="95" l="1"/>
  <c r="U47" i="95" l="1"/>
  <c r="T47" i="95"/>
  <c r="S47" i="95"/>
  <c r="F36" i="97"/>
  <c r="F37" i="97" s="1"/>
  <c r="M25" i="97"/>
  <c r="M24" i="97"/>
  <c r="M23" i="97"/>
  <c r="M22" i="97"/>
  <c r="S18" i="97"/>
  <c r="T18" i="97" s="1"/>
  <c r="M18" i="97"/>
  <c r="S17" i="97"/>
  <c r="T17" i="97" s="1"/>
  <c r="M17" i="97"/>
  <c r="S16" i="97"/>
  <c r="T16" i="97" s="1"/>
  <c r="M16" i="97"/>
  <c r="S15" i="97"/>
  <c r="U15" i="97" s="1"/>
  <c r="V15" i="97" s="1"/>
  <c r="M15" i="97"/>
  <c r="I15" i="97"/>
  <c r="F34" i="97" s="1"/>
  <c r="F35" i="97" s="1"/>
  <c r="H15" i="97"/>
  <c r="I9" i="97"/>
  <c r="P9" i="97" s="1"/>
  <c r="M10" i="97" s="1"/>
  <c r="F38" i="97" l="1"/>
  <c r="G19" i="97"/>
  <c r="M11" i="97"/>
  <c r="N16" i="97" s="1"/>
  <c r="F19" i="97"/>
  <c r="I19" i="97"/>
  <c r="H19" i="97"/>
  <c r="N15" i="97"/>
  <c r="N17" i="97"/>
  <c r="N11" i="97"/>
  <c r="U16" i="97"/>
  <c r="V16" i="97" s="1"/>
  <c r="U18" i="97"/>
  <c r="V18" i="97" s="1"/>
  <c r="T15" i="97"/>
  <c r="U17" i="97"/>
  <c r="V17" i="97" s="1"/>
  <c r="S13" i="97"/>
  <c r="S19" i="95"/>
  <c r="S18" i="95"/>
  <c r="S16" i="95"/>
  <c r="S15" i="95"/>
  <c r="H31" i="97" l="1"/>
  <c r="H30" i="97"/>
  <c r="H29" i="97"/>
  <c r="H28" i="97"/>
  <c r="H20" i="97"/>
  <c r="H22" i="97" s="1"/>
  <c r="G20" i="97"/>
  <c r="G22" i="97" s="1"/>
  <c r="G31" i="97"/>
  <c r="G30" i="97"/>
  <c r="G29" i="97"/>
  <c r="G28" i="97"/>
  <c r="I31" i="97"/>
  <c r="I30" i="97"/>
  <c r="I29" i="97"/>
  <c r="I28" i="97"/>
  <c r="I20" i="97"/>
  <c r="I22" i="97" s="1"/>
  <c r="F31" i="97"/>
  <c r="F30" i="97"/>
  <c r="F29" i="97"/>
  <c r="F28" i="97"/>
  <c r="F20" i="97"/>
  <c r="F22" i="97" s="1"/>
  <c r="N20" i="97"/>
  <c r="N18" i="97"/>
  <c r="I9" i="95"/>
  <c r="P9" i="95" s="1"/>
  <c r="M10" i="95" s="1"/>
  <c r="G32" i="97" l="1"/>
  <c r="N23" i="97" s="1"/>
  <c r="H32" i="97"/>
  <c r="N24" i="97" s="1"/>
  <c r="I32" i="97"/>
  <c r="F32" i="97"/>
  <c r="F35" i="96"/>
  <c r="F36" i="96" s="1"/>
  <c r="M24" i="96"/>
  <c r="N24" i="96" s="1"/>
  <c r="M23" i="96"/>
  <c r="N23" i="96" s="1"/>
  <c r="M22" i="96"/>
  <c r="N22" i="96" s="1"/>
  <c r="M21" i="96"/>
  <c r="N21" i="96" s="1"/>
  <c r="M17" i="96"/>
  <c r="M16" i="96"/>
  <c r="M15" i="96"/>
  <c r="I15" i="96"/>
  <c r="F33" i="96" s="1"/>
  <c r="F34" i="96" s="1"/>
  <c r="H15" i="96"/>
  <c r="N12" i="96" s="1"/>
  <c r="M14" i="96"/>
  <c r="F48" i="95"/>
  <c r="F49" i="95" s="1"/>
  <c r="M26" i="95"/>
  <c r="M25" i="95"/>
  <c r="M24" i="95"/>
  <c r="M18" i="95"/>
  <c r="M17" i="95"/>
  <c r="M16" i="95"/>
  <c r="I15" i="95"/>
  <c r="F55" i="95" s="1"/>
  <c r="F57" i="95" s="1"/>
  <c r="H15" i="95"/>
  <c r="S11" i="95" s="1"/>
  <c r="I15" i="94"/>
  <c r="H15" i="94"/>
  <c r="N12" i="94" s="1"/>
  <c r="F35" i="94"/>
  <c r="F36" i="94" s="1"/>
  <c r="M24" i="94"/>
  <c r="N24" i="94" s="1"/>
  <c r="M23" i="94"/>
  <c r="N23" i="94" s="1"/>
  <c r="M22" i="94"/>
  <c r="N22" i="94" s="1"/>
  <c r="M21" i="94"/>
  <c r="N21" i="94" s="1"/>
  <c r="M17" i="94"/>
  <c r="M16" i="94"/>
  <c r="M15" i="94"/>
  <c r="M14" i="94"/>
  <c r="N10" i="96" l="1"/>
  <c r="F45" i="95"/>
  <c r="V47" i="95"/>
  <c r="W47" i="95" s="1"/>
  <c r="V11" i="95" s="1"/>
  <c r="V40" i="95"/>
  <c r="U38" i="95"/>
  <c r="T38" i="95"/>
  <c r="S38" i="95"/>
  <c r="U40" i="95"/>
  <c r="T40" i="95"/>
  <c r="S40" i="95"/>
  <c r="U39" i="95"/>
  <c r="T39" i="95"/>
  <c r="S39" i="95"/>
  <c r="V38" i="95"/>
  <c r="V39" i="95"/>
  <c r="G21" i="97"/>
  <c r="H21" i="97"/>
  <c r="N13" i="97"/>
  <c r="N22" i="97"/>
  <c r="S11" i="97"/>
  <c r="F21" i="97"/>
  <c r="N25" i="97"/>
  <c r="I21" i="97"/>
  <c r="F37" i="96"/>
  <c r="F33" i="94"/>
  <c r="F34" i="94" s="1"/>
  <c r="N10" i="94" s="1"/>
  <c r="N12" i="92"/>
  <c r="F35" i="92"/>
  <c r="F36" i="92" s="1"/>
  <c r="F33" i="92"/>
  <c r="F34" i="92" s="1"/>
  <c r="M14" i="92"/>
  <c r="M17" i="92"/>
  <c r="M16" i="92"/>
  <c r="M15" i="92"/>
  <c r="F33" i="93"/>
  <c r="F34" i="93" s="1"/>
  <c r="F35" i="93"/>
  <c r="F36" i="93" s="1"/>
  <c r="HX14" i="71"/>
  <c r="HL14" i="71"/>
  <c r="GZ14" i="71"/>
  <c r="GN14" i="71"/>
  <c r="GB14" i="71"/>
  <c r="FP14" i="71"/>
  <c r="FD14" i="71"/>
  <c r="ER14" i="71"/>
  <c r="EE14" i="71"/>
  <c r="DS14" i="71"/>
  <c r="DG14" i="71"/>
  <c r="CU14" i="71"/>
  <c r="CI14" i="71"/>
  <c r="BW14" i="71"/>
  <c r="BK14" i="71"/>
  <c r="AY14" i="71"/>
  <c r="AM14" i="71"/>
  <c r="AA14" i="71"/>
  <c r="O14" i="71"/>
  <c r="C14" i="71"/>
  <c r="C5" i="69"/>
  <c r="C4" i="69"/>
  <c r="F2" i="67"/>
  <c r="F81" i="71"/>
  <c r="R81" i="71"/>
  <c r="AD81" i="71" s="1"/>
  <c r="AP81" i="71" s="1"/>
  <c r="BB81" i="71" s="1"/>
  <c r="BN81" i="71" s="1"/>
  <c r="BZ81" i="71" s="1"/>
  <c r="CL81" i="71" s="1"/>
  <c r="CX81" i="71" s="1"/>
  <c r="DJ81" i="71" s="1"/>
  <c r="DV81" i="71" s="1"/>
  <c r="EH81" i="71" s="1"/>
  <c r="EU81" i="71" s="1"/>
  <c r="FG81" i="71" s="1"/>
  <c r="FS81" i="71" s="1"/>
  <c r="GE81" i="71" s="1"/>
  <c r="GQ81" i="71" s="1"/>
  <c r="HC81" i="71" s="1"/>
  <c r="HO81" i="71" s="1"/>
  <c r="IA81" i="71" s="1"/>
  <c r="I41" i="71"/>
  <c r="F62" i="69"/>
  <c r="B62" i="69"/>
  <c r="I61" i="2"/>
  <c r="D61" i="2"/>
  <c r="S67" i="67"/>
  <c r="J67" i="67"/>
  <c r="F67" i="67"/>
  <c r="U41" i="71"/>
  <c r="AG41" i="71"/>
  <c r="AS41" i="71" s="1"/>
  <c r="BE41" i="71" s="1"/>
  <c r="BQ41" i="71" s="1"/>
  <c r="CC41" i="71" s="1"/>
  <c r="CO41" i="71" s="1"/>
  <c r="DA41" i="71" s="1"/>
  <c r="DM41" i="71" s="1"/>
  <c r="DY41" i="71" s="1"/>
  <c r="EK41" i="71" s="1"/>
  <c r="EX41" i="71" s="1"/>
  <c r="FJ41" i="71" s="1"/>
  <c r="FV41" i="71" s="1"/>
  <c r="GH41" i="71" s="1"/>
  <c r="GT41" i="71" s="1"/>
  <c r="HF41" i="71" s="1"/>
  <c r="HR41" i="71" s="1"/>
  <c r="ID41" i="71" s="1"/>
  <c r="AL43" i="68"/>
  <c r="D18" i="69" s="1"/>
  <c r="HY18" i="71"/>
  <c r="HX13" i="71"/>
  <c r="HX69" i="71"/>
  <c r="HM18" i="71"/>
  <c r="HL13" i="71"/>
  <c r="HL69" i="71" s="1"/>
  <c r="HA18" i="71"/>
  <c r="GZ13" i="71"/>
  <c r="GZ69" i="71" s="1"/>
  <c r="GO18" i="71"/>
  <c r="GN13" i="71"/>
  <c r="GN69" i="71" s="1"/>
  <c r="GC18" i="71"/>
  <c r="GB13" i="71"/>
  <c r="GB69" i="71"/>
  <c r="FQ18" i="71"/>
  <c r="FP13" i="71"/>
  <c r="FP69" i="71" s="1"/>
  <c r="FE18" i="71"/>
  <c r="FD13" i="71"/>
  <c r="FD69" i="71" s="1"/>
  <c r="ES18" i="71"/>
  <c r="ER13" i="71"/>
  <c r="ER69" i="71" s="1"/>
  <c r="EF18" i="71"/>
  <c r="EE13" i="71"/>
  <c r="EE69" i="71" s="1"/>
  <c r="DT18" i="71"/>
  <c r="DS13" i="71"/>
  <c r="DS69" i="71" s="1"/>
  <c r="DH18" i="71"/>
  <c r="DG13" i="71"/>
  <c r="DG69" i="71" s="1"/>
  <c r="CV18" i="71"/>
  <c r="CU13" i="71"/>
  <c r="CU69" i="71" s="1"/>
  <c r="CJ18" i="71"/>
  <c r="CI13" i="71"/>
  <c r="CI69" i="71" s="1"/>
  <c r="BX18" i="71"/>
  <c r="BW13" i="71"/>
  <c r="BW69" i="71" s="1"/>
  <c r="BL18" i="71"/>
  <c r="BK13" i="71"/>
  <c r="BK69" i="71" s="1"/>
  <c r="AZ18" i="71"/>
  <c r="AY13" i="71"/>
  <c r="AY69" i="71" s="1"/>
  <c r="IA25" i="71"/>
  <c r="IA24" i="71"/>
  <c r="HX59" i="71"/>
  <c r="IF62" i="71" s="1"/>
  <c r="HO25" i="71"/>
  <c r="HO24" i="71"/>
  <c r="HL59" i="71" s="1"/>
  <c r="HT62" i="71" s="1"/>
  <c r="HC25" i="71"/>
  <c r="HC24" i="71"/>
  <c r="GZ59" i="71" s="1"/>
  <c r="HH62" i="71" s="1"/>
  <c r="GQ25" i="71"/>
  <c r="GQ24" i="71"/>
  <c r="GN59" i="71" s="1"/>
  <c r="GV62" i="71" s="1"/>
  <c r="GE25" i="71"/>
  <c r="GE24" i="71"/>
  <c r="GB59" i="71" s="1"/>
  <c r="GJ62" i="71" s="1"/>
  <c r="FS25" i="71"/>
  <c r="FS24" i="71"/>
  <c r="FP59" i="71" s="1"/>
  <c r="FX62" i="71" s="1"/>
  <c r="FG25" i="71"/>
  <c r="FG24" i="71"/>
  <c r="FD59" i="71" s="1"/>
  <c r="FL62" i="71" s="1"/>
  <c r="EU25" i="71"/>
  <c r="EU24" i="71"/>
  <c r="ER59" i="71" s="1"/>
  <c r="EZ62" i="71" s="1"/>
  <c r="EH25" i="71"/>
  <c r="EH24" i="71"/>
  <c r="EE59" i="71"/>
  <c r="EM62" i="71" s="1"/>
  <c r="DV25" i="71"/>
  <c r="DV24" i="71"/>
  <c r="DS59" i="71" s="1"/>
  <c r="EA62" i="71" s="1"/>
  <c r="DJ25" i="71"/>
  <c r="DJ24" i="71"/>
  <c r="DG59" i="71" s="1"/>
  <c r="DO62" i="71" s="1"/>
  <c r="CX25" i="71"/>
  <c r="CX24" i="71"/>
  <c r="CU59" i="71" s="1"/>
  <c r="DC62" i="71" s="1"/>
  <c r="CL25" i="71"/>
  <c r="CL24" i="71"/>
  <c r="CI59" i="71"/>
  <c r="CQ62" i="71" s="1"/>
  <c r="BZ25" i="71"/>
  <c r="BZ24" i="71"/>
  <c r="BW59" i="71" s="1"/>
  <c r="CE62" i="71" s="1"/>
  <c r="BN25" i="71"/>
  <c r="BN24" i="71"/>
  <c r="BK59" i="71" s="1"/>
  <c r="BS62" i="71" s="1"/>
  <c r="BB25" i="71"/>
  <c r="BB24" i="71"/>
  <c r="AY59" i="71" s="1"/>
  <c r="BG62" i="71" s="1"/>
  <c r="AP25" i="71"/>
  <c r="AP24" i="71"/>
  <c r="AM59" i="71"/>
  <c r="AU62" i="71" s="1"/>
  <c r="AN18" i="71"/>
  <c r="AM13" i="71"/>
  <c r="AM69" i="71" s="1"/>
  <c r="AD25" i="71"/>
  <c r="AD24" i="71"/>
  <c r="AA59" i="71" s="1"/>
  <c r="AI62" i="71" s="1"/>
  <c r="R25" i="71"/>
  <c r="R24" i="71"/>
  <c r="O59" i="71" s="1"/>
  <c r="W62" i="71" s="1"/>
  <c r="AB18" i="71"/>
  <c r="AA13" i="71"/>
  <c r="AA69" i="71" s="1"/>
  <c r="P18" i="71"/>
  <c r="O13" i="71"/>
  <c r="O69" i="71" s="1"/>
  <c r="ID9" i="71"/>
  <c r="IC63" i="71" s="1"/>
  <c r="HR9" i="71"/>
  <c r="HQ63" i="71" s="1"/>
  <c r="HF9" i="71"/>
  <c r="HE63" i="71" s="1"/>
  <c r="GT9" i="71"/>
  <c r="GS63" i="71" s="1"/>
  <c r="GH9" i="71"/>
  <c r="GG63" i="71" s="1"/>
  <c r="FV9" i="71"/>
  <c r="FU63" i="71" s="1"/>
  <c r="FJ9" i="71"/>
  <c r="FI63" i="71" s="1"/>
  <c r="EX9" i="71"/>
  <c r="EW63" i="71" s="1"/>
  <c r="EK9" i="71"/>
  <c r="EJ63" i="71" s="1"/>
  <c r="DY9" i="71"/>
  <c r="DX63" i="71" s="1"/>
  <c r="DM9" i="71"/>
  <c r="DL63" i="71" s="1"/>
  <c r="DA9" i="71"/>
  <c r="CZ63" i="71" s="1"/>
  <c r="CO9" i="71"/>
  <c r="CN63" i="71" s="1"/>
  <c r="CC9" i="71"/>
  <c r="CB63" i="71" s="1"/>
  <c r="BQ9" i="71"/>
  <c r="BP63" i="71" s="1"/>
  <c r="BE9" i="71"/>
  <c r="BD63" i="71" s="1"/>
  <c r="AS9" i="71"/>
  <c r="AR63" i="71" s="1"/>
  <c r="AG9" i="71"/>
  <c r="AF63" i="71" s="1"/>
  <c r="U9" i="71"/>
  <c r="T63" i="71" s="1"/>
  <c r="F5" i="67"/>
  <c r="C15" i="71" s="1"/>
  <c r="O15" i="71" s="1"/>
  <c r="AA15" i="71" s="1"/>
  <c r="AM15" i="71" s="1"/>
  <c r="AY15" i="71" s="1"/>
  <c r="BK15" i="71" s="1"/>
  <c r="BW15" i="71" s="1"/>
  <c r="CI15" i="71" s="1"/>
  <c r="CU15" i="71" s="1"/>
  <c r="DG15" i="71" s="1"/>
  <c r="DS15" i="71" s="1"/>
  <c r="EE15" i="71" s="1"/>
  <c r="ER15" i="71" s="1"/>
  <c r="FD15" i="71" s="1"/>
  <c r="FP15" i="71" s="1"/>
  <c r="GB15" i="71" s="1"/>
  <c r="GN15" i="71" s="1"/>
  <c r="GZ15" i="71" s="1"/>
  <c r="HL15" i="71" s="1"/>
  <c r="HX15" i="71" s="1"/>
  <c r="D18" i="90"/>
  <c r="C13" i="90"/>
  <c r="F25" i="90"/>
  <c r="F24" i="90"/>
  <c r="F25" i="89"/>
  <c r="F24" i="89"/>
  <c r="D18" i="89"/>
  <c r="C13" i="89"/>
  <c r="F25" i="88"/>
  <c r="F24" i="88"/>
  <c r="D18" i="88"/>
  <c r="C13" i="88"/>
  <c r="C13" i="87"/>
  <c r="D18" i="87"/>
  <c r="F25" i="87"/>
  <c r="F24" i="87"/>
  <c r="D18" i="86"/>
  <c r="C13" i="86"/>
  <c r="F25" i="86"/>
  <c r="F24" i="86"/>
  <c r="D18" i="85"/>
  <c r="C13" i="85"/>
  <c r="F25" i="85"/>
  <c r="F24" i="85"/>
  <c r="D18" i="84"/>
  <c r="C13" i="84"/>
  <c r="F25" i="84"/>
  <c r="F24" i="84"/>
  <c r="D18" i="83"/>
  <c r="C13" i="83"/>
  <c r="F25" i="83"/>
  <c r="F24" i="83"/>
  <c r="D18" i="82"/>
  <c r="C13" i="82"/>
  <c r="F25" i="82"/>
  <c r="F24" i="82"/>
  <c r="F25" i="81"/>
  <c r="F24" i="81"/>
  <c r="D18" i="81"/>
  <c r="C13" i="81"/>
  <c r="F25" i="80"/>
  <c r="F24" i="80"/>
  <c r="D18" i="80"/>
  <c r="C13" i="80"/>
  <c r="F25" i="79"/>
  <c r="F24" i="79"/>
  <c r="D18" i="79"/>
  <c r="C13" i="79"/>
  <c r="F25" i="78"/>
  <c r="F24" i="78"/>
  <c r="D18" i="78"/>
  <c r="C13" i="78"/>
  <c r="F25" i="77"/>
  <c r="F24" i="77"/>
  <c r="D18" i="77"/>
  <c r="C13" i="77"/>
  <c r="F25" i="76"/>
  <c r="F24" i="76"/>
  <c r="D18" i="76"/>
  <c r="C13" i="76"/>
  <c r="F25" i="75"/>
  <c r="F24" i="75"/>
  <c r="D18" i="75"/>
  <c r="C13" i="75"/>
  <c r="F25" i="74"/>
  <c r="F24" i="74"/>
  <c r="D18" i="74"/>
  <c r="C13" i="74"/>
  <c r="F25" i="73"/>
  <c r="F24" i="73"/>
  <c r="D18" i="73"/>
  <c r="C13" i="73"/>
  <c r="I9" i="90"/>
  <c r="I9" i="89"/>
  <c r="I9" i="88"/>
  <c r="I9" i="87"/>
  <c r="I9" i="86"/>
  <c r="I9" i="85"/>
  <c r="I9" i="84"/>
  <c r="I9" i="83"/>
  <c r="I9" i="82"/>
  <c r="I9" i="81"/>
  <c r="I9" i="80"/>
  <c r="I9" i="79"/>
  <c r="I9" i="78"/>
  <c r="I9" i="77"/>
  <c r="I9" i="76"/>
  <c r="I9" i="75"/>
  <c r="I9" i="74"/>
  <c r="I9" i="73"/>
  <c r="F25" i="72"/>
  <c r="F24" i="72"/>
  <c r="D18" i="72"/>
  <c r="C13" i="72"/>
  <c r="I9" i="72"/>
  <c r="F24" i="71"/>
  <c r="C59" i="71" s="1"/>
  <c r="K62" i="71" s="1"/>
  <c r="I9" i="71"/>
  <c r="H63" i="71" s="1"/>
  <c r="F25" i="71"/>
  <c r="D18" i="71"/>
  <c r="C13" i="71"/>
  <c r="C69" i="71" s="1"/>
  <c r="C8" i="1"/>
  <c r="D8" i="1"/>
  <c r="E8" i="1"/>
  <c r="F8" i="1"/>
  <c r="C9" i="1"/>
  <c r="D9" i="1"/>
  <c r="E9" i="1"/>
  <c r="F9" i="1"/>
  <c r="H9" i="1" s="1"/>
  <c r="C10" i="1"/>
  <c r="D10" i="1"/>
  <c r="E10" i="1"/>
  <c r="F10" i="1"/>
  <c r="C11" i="1"/>
  <c r="D11" i="1"/>
  <c r="E11" i="1"/>
  <c r="F11" i="1"/>
  <c r="H11" i="1" s="1"/>
  <c r="C12" i="1"/>
  <c r="D12" i="1"/>
  <c r="E12" i="1"/>
  <c r="F12" i="1"/>
  <c r="C13" i="1"/>
  <c r="D13" i="1"/>
  <c r="E13" i="1"/>
  <c r="F13" i="1"/>
  <c r="H13" i="1" s="1"/>
  <c r="C14" i="1"/>
  <c r="D14" i="1"/>
  <c r="E14" i="1"/>
  <c r="F14" i="1"/>
  <c r="C15" i="1"/>
  <c r="D15" i="1"/>
  <c r="E15" i="1"/>
  <c r="F15" i="1"/>
  <c r="H15" i="1" s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G40" i="1" s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G46" i="1" s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G52" i="1" s="1"/>
  <c r="F52" i="1"/>
  <c r="C53" i="1"/>
  <c r="D53" i="1"/>
  <c r="E53" i="1"/>
  <c r="F53" i="1"/>
  <c r="C54" i="1"/>
  <c r="D54" i="1"/>
  <c r="E54" i="1"/>
  <c r="G54" i="1" s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G58" i="1" s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G62" i="1" s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G66" i="1"/>
  <c r="C67" i="1"/>
  <c r="D67" i="1"/>
  <c r="E67" i="1"/>
  <c r="F67" i="1"/>
  <c r="H67" i="1" s="1"/>
  <c r="C68" i="1"/>
  <c r="D68" i="1"/>
  <c r="E68" i="1"/>
  <c r="F68" i="1"/>
  <c r="C69" i="1"/>
  <c r="D69" i="1"/>
  <c r="E69" i="1"/>
  <c r="F69" i="1"/>
  <c r="H69" i="1" s="1"/>
  <c r="C70" i="1"/>
  <c r="D70" i="1"/>
  <c r="E70" i="1"/>
  <c r="F70" i="1"/>
  <c r="G70" i="1" s="1"/>
  <c r="C71" i="1"/>
  <c r="D71" i="1"/>
  <c r="E71" i="1"/>
  <c r="F71" i="1"/>
  <c r="H71" i="1" s="1"/>
  <c r="C72" i="1"/>
  <c r="D72" i="1"/>
  <c r="E72" i="1"/>
  <c r="F72" i="1"/>
  <c r="C73" i="1"/>
  <c r="D73" i="1"/>
  <c r="E73" i="1"/>
  <c r="F73" i="1"/>
  <c r="H73" i="1" s="1"/>
  <c r="C74" i="1"/>
  <c r="D74" i="1"/>
  <c r="E74" i="1"/>
  <c r="F74" i="1"/>
  <c r="G74" i="1" s="1"/>
  <c r="C75" i="1"/>
  <c r="D75" i="1"/>
  <c r="E75" i="1"/>
  <c r="F75" i="1"/>
  <c r="H75" i="1" s="1"/>
  <c r="C76" i="1"/>
  <c r="D76" i="1"/>
  <c r="E76" i="1"/>
  <c r="F76" i="1"/>
  <c r="C77" i="1"/>
  <c r="D77" i="1"/>
  <c r="E77" i="1"/>
  <c r="F77" i="1"/>
  <c r="H77" i="1" s="1"/>
  <c r="C78" i="1"/>
  <c r="D78" i="1"/>
  <c r="E78" i="1"/>
  <c r="F78" i="1"/>
  <c r="G78" i="1" s="1"/>
  <c r="C79" i="1"/>
  <c r="D79" i="1"/>
  <c r="E79" i="1"/>
  <c r="F79" i="1"/>
  <c r="H79" i="1" s="1"/>
  <c r="C80" i="1"/>
  <c r="D80" i="1"/>
  <c r="E80" i="1"/>
  <c r="G80" i="1" s="1"/>
  <c r="F80" i="1"/>
  <c r="C81" i="1"/>
  <c r="D81" i="1"/>
  <c r="E81" i="1"/>
  <c r="F81" i="1"/>
  <c r="H81" i="1" s="1"/>
  <c r="C82" i="1"/>
  <c r="D82" i="1"/>
  <c r="E82" i="1"/>
  <c r="F82" i="1"/>
  <c r="G82" i="1"/>
  <c r="C83" i="1"/>
  <c r="D83" i="1"/>
  <c r="E83" i="1"/>
  <c r="F83" i="1"/>
  <c r="H83" i="1" s="1"/>
  <c r="C84" i="1"/>
  <c r="D84" i="1"/>
  <c r="E84" i="1"/>
  <c r="F84" i="1"/>
  <c r="C85" i="1"/>
  <c r="D85" i="1"/>
  <c r="E85" i="1"/>
  <c r="F85" i="1"/>
  <c r="B8" i="4"/>
  <c r="F8" i="4"/>
  <c r="C9" i="4"/>
  <c r="D9" i="4"/>
  <c r="E9" i="4"/>
  <c r="F9" i="4"/>
  <c r="C10" i="4"/>
  <c r="D10" i="4"/>
  <c r="E10" i="4"/>
  <c r="F10" i="4"/>
  <c r="C11" i="4"/>
  <c r="D11" i="4"/>
  <c r="E11" i="4"/>
  <c r="F11" i="4"/>
  <c r="C12" i="4"/>
  <c r="D12" i="4"/>
  <c r="E12" i="4"/>
  <c r="F12" i="4"/>
  <c r="C13" i="4"/>
  <c r="D13" i="4"/>
  <c r="E13" i="4"/>
  <c r="F13" i="4"/>
  <c r="C14" i="4"/>
  <c r="D14" i="4"/>
  <c r="G14" i="4" s="1"/>
  <c r="E14" i="4"/>
  <c r="F14" i="4"/>
  <c r="C15" i="4"/>
  <c r="D15" i="4"/>
  <c r="E15" i="4"/>
  <c r="F15" i="4"/>
  <c r="C16" i="4"/>
  <c r="D16" i="4"/>
  <c r="G16" i="4" s="1"/>
  <c r="E16" i="4"/>
  <c r="F16" i="4"/>
  <c r="C17" i="4"/>
  <c r="D17" i="4"/>
  <c r="E17" i="4"/>
  <c r="F17" i="4"/>
  <c r="C18" i="4"/>
  <c r="D18" i="4"/>
  <c r="G18" i="4" s="1"/>
  <c r="E18" i="4"/>
  <c r="F18" i="4"/>
  <c r="C19" i="4"/>
  <c r="D19" i="4"/>
  <c r="E19" i="4"/>
  <c r="F19" i="4"/>
  <c r="C20" i="4"/>
  <c r="D20" i="4"/>
  <c r="G20" i="4" s="1"/>
  <c r="E20" i="4"/>
  <c r="F20" i="4"/>
  <c r="C21" i="4"/>
  <c r="D21" i="4"/>
  <c r="E21" i="4"/>
  <c r="F21" i="4"/>
  <c r="C22" i="4"/>
  <c r="D22" i="4"/>
  <c r="G22" i="4" s="1"/>
  <c r="E22" i="4"/>
  <c r="F22" i="4"/>
  <c r="C23" i="4"/>
  <c r="D23" i="4"/>
  <c r="E23" i="4"/>
  <c r="F23" i="4"/>
  <c r="C24" i="4"/>
  <c r="D24" i="4"/>
  <c r="G24" i="4" s="1"/>
  <c r="E24" i="4"/>
  <c r="F24" i="4"/>
  <c r="H24" i="4"/>
  <c r="C25" i="4"/>
  <c r="D25" i="4"/>
  <c r="H25" i="4" s="1"/>
  <c r="E25" i="4"/>
  <c r="F25" i="4"/>
  <c r="C26" i="4"/>
  <c r="D26" i="4"/>
  <c r="E26" i="4"/>
  <c r="F26" i="4"/>
  <c r="C27" i="4"/>
  <c r="D27" i="4"/>
  <c r="H27" i="4" s="1"/>
  <c r="E27" i="4"/>
  <c r="F27" i="4"/>
  <c r="C28" i="4"/>
  <c r="D28" i="4"/>
  <c r="E28" i="4"/>
  <c r="F28" i="4"/>
  <c r="C29" i="4"/>
  <c r="D29" i="4"/>
  <c r="H29" i="4" s="1"/>
  <c r="E29" i="4"/>
  <c r="F29" i="4"/>
  <c r="C30" i="4"/>
  <c r="D30" i="4"/>
  <c r="E30" i="4"/>
  <c r="F30" i="4"/>
  <c r="C31" i="4"/>
  <c r="D31" i="4"/>
  <c r="H31" i="4" s="1"/>
  <c r="E31" i="4"/>
  <c r="F31" i="4"/>
  <c r="C32" i="4"/>
  <c r="D32" i="4"/>
  <c r="E32" i="4"/>
  <c r="F32" i="4"/>
  <c r="C33" i="4"/>
  <c r="D33" i="4"/>
  <c r="H33" i="4" s="1"/>
  <c r="E33" i="4"/>
  <c r="F33" i="4"/>
  <c r="C34" i="4"/>
  <c r="D34" i="4"/>
  <c r="E34" i="4"/>
  <c r="F34" i="4"/>
  <c r="C35" i="4"/>
  <c r="D35" i="4"/>
  <c r="H35" i="4" s="1"/>
  <c r="E35" i="4"/>
  <c r="F35" i="4"/>
  <c r="C36" i="4"/>
  <c r="D36" i="4"/>
  <c r="E36" i="4"/>
  <c r="F36" i="4"/>
  <c r="C37" i="4"/>
  <c r="D37" i="4"/>
  <c r="H37" i="4" s="1"/>
  <c r="E37" i="4"/>
  <c r="F37" i="4"/>
  <c r="C38" i="4"/>
  <c r="D38" i="4"/>
  <c r="E38" i="4"/>
  <c r="F38" i="4"/>
  <c r="C39" i="4"/>
  <c r="D39" i="4"/>
  <c r="H39" i="4" s="1"/>
  <c r="E39" i="4"/>
  <c r="F39" i="4"/>
  <c r="C40" i="4"/>
  <c r="D40" i="4"/>
  <c r="E40" i="4"/>
  <c r="F40" i="4"/>
  <c r="H40" i="4"/>
  <c r="C41" i="4"/>
  <c r="D41" i="4"/>
  <c r="H41" i="4" s="1"/>
  <c r="E41" i="4"/>
  <c r="F41" i="4"/>
  <c r="C42" i="4"/>
  <c r="D42" i="4"/>
  <c r="E42" i="4"/>
  <c r="F42" i="4"/>
  <c r="C43" i="4"/>
  <c r="D43" i="4"/>
  <c r="H43" i="4" s="1"/>
  <c r="E43" i="4"/>
  <c r="F43" i="4"/>
  <c r="C44" i="4"/>
  <c r="D44" i="4"/>
  <c r="E44" i="4"/>
  <c r="F44" i="4"/>
  <c r="C45" i="4"/>
  <c r="D45" i="4"/>
  <c r="H45" i="4" s="1"/>
  <c r="E45" i="4"/>
  <c r="F45" i="4"/>
  <c r="C46" i="4"/>
  <c r="D46" i="4"/>
  <c r="E46" i="4"/>
  <c r="F46" i="4"/>
  <c r="C47" i="4"/>
  <c r="D47" i="4"/>
  <c r="H47" i="4" s="1"/>
  <c r="E47" i="4"/>
  <c r="F47" i="4"/>
  <c r="C48" i="4"/>
  <c r="D48" i="4"/>
  <c r="E48" i="4"/>
  <c r="F48" i="4"/>
  <c r="C49" i="4"/>
  <c r="D49" i="4"/>
  <c r="H49" i="4" s="1"/>
  <c r="E49" i="4"/>
  <c r="F49" i="4"/>
  <c r="C50" i="4"/>
  <c r="D50" i="4"/>
  <c r="E50" i="4"/>
  <c r="F50" i="4"/>
  <c r="C51" i="4"/>
  <c r="D51" i="4"/>
  <c r="E51" i="4"/>
  <c r="F51" i="4"/>
  <c r="C52" i="4"/>
  <c r="D52" i="4"/>
  <c r="E52" i="4"/>
  <c r="F52" i="4"/>
  <c r="C53" i="4"/>
  <c r="D53" i="4"/>
  <c r="G53" i="4" s="1"/>
  <c r="E53" i="4"/>
  <c r="F53" i="4"/>
  <c r="C54" i="4"/>
  <c r="D54" i="4"/>
  <c r="H54" i="4" s="1"/>
  <c r="E54" i="4"/>
  <c r="F54" i="4"/>
  <c r="C55" i="4"/>
  <c r="D55" i="4"/>
  <c r="E55" i="4"/>
  <c r="F55" i="4"/>
  <c r="C56" i="4"/>
  <c r="D56" i="4"/>
  <c r="E56" i="4"/>
  <c r="F56" i="4"/>
  <c r="C57" i="4"/>
  <c r="D57" i="4"/>
  <c r="E57" i="4"/>
  <c r="F57" i="4"/>
  <c r="C58" i="4"/>
  <c r="D58" i="4"/>
  <c r="H58" i="4" s="1"/>
  <c r="E58" i="4"/>
  <c r="F58" i="4"/>
  <c r="C59" i="4"/>
  <c r="D59" i="4"/>
  <c r="E59" i="4"/>
  <c r="F59" i="4"/>
  <c r="C60" i="4"/>
  <c r="D60" i="4"/>
  <c r="E60" i="4"/>
  <c r="F60" i="4"/>
  <c r="C61" i="4"/>
  <c r="D61" i="4"/>
  <c r="E61" i="4"/>
  <c r="F61" i="4"/>
  <c r="H61" i="4" s="1"/>
  <c r="C62" i="4"/>
  <c r="D62" i="4"/>
  <c r="H62" i="4" s="1"/>
  <c r="E62" i="4"/>
  <c r="F62" i="4"/>
  <c r="C63" i="4"/>
  <c r="D63" i="4"/>
  <c r="E63" i="4"/>
  <c r="F63" i="4"/>
  <c r="C64" i="4"/>
  <c r="D64" i="4"/>
  <c r="E64" i="4"/>
  <c r="F64" i="4"/>
  <c r="C65" i="4"/>
  <c r="D65" i="4"/>
  <c r="E65" i="4"/>
  <c r="F65" i="4"/>
  <c r="C66" i="4"/>
  <c r="D66" i="4"/>
  <c r="H66" i="4" s="1"/>
  <c r="E66" i="4"/>
  <c r="F66" i="4"/>
  <c r="C67" i="4"/>
  <c r="D67" i="4"/>
  <c r="E67" i="4"/>
  <c r="F67" i="4"/>
  <c r="C68" i="4"/>
  <c r="D68" i="4"/>
  <c r="E68" i="4"/>
  <c r="F68" i="4"/>
  <c r="C69" i="4"/>
  <c r="D69" i="4"/>
  <c r="E69" i="4"/>
  <c r="F69" i="4"/>
  <c r="C70" i="4"/>
  <c r="D70" i="4"/>
  <c r="H70" i="4" s="1"/>
  <c r="E70" i="4"/>
  <c r="F70" i="4"/>
  <c r="C71" i="4"/>
  <c r="D71" i="4"/>
  <c r="E71" i="4"/>
  <c r="F71" i="4"/>
  <c r="C72" i="4"/>
  <c r="D72" i="4"/>
  <c r="E72" i="4"/>
  <c r="F72" i="4"/>
  <c r="H72" i="4" s="1"/>
  <c r="C73" i="4"/>
  <c r="D73" i="4"/>
  <c r="E73" i="4"/>
  <c r="F73" i="4"/>
  <c r="C74" i="4"/>
  <c r="D74" i="4"/>
  <c r="H74" i="4" s="1"/>
  <c r="E74" i="4"/>
  <c r="F74" i="4"/>
  <c r="C75" i="4"/>
  <c r="D75" i="4"/>
  <c r="E75" i="4"/>
  <c r="F75" i="4"/>
  <c r="C76" i="4"/>
  <c r="D76" i="4"/>
  <c r="E76" i="4"/>
  <c r="F76" i="4"/>
  <c r="C77" i="4"/>
  <c r="D77" i="4"/>
  <c r="E77" i="4"/>
  <c r="F77" i="4"/>
  <c r="C78" i="4"/>
  <c r="D78" i="4"/>
  <c r="H78" i="4" s="1"/>
  <c r="E78" i="4"/>
  <c r="F78" i="4"/>
  <c r="C79" i="4"/>
  <c r="D79" i="4"/>
  <c r="E79" i="4"/>
  <c r="F79" i="4"/>
  <c r="C80" i="4"/>
  <c r="D80" i="4"/>
  <c r="E80" i="4"/>
  <c r="F80" i="4"/>
  <c r="C81" i="4"/>
  <c r="D81" i="4"/>
  <c r="E81" i="4"/>
  <c r="F81" i="4"/>
  <c r="C82" i="4"/>
  <c r="D82" i="4"/>
  <c r="H82" i="4" s="1"/>
  <c r="E82" i="4"/>
  <c r="F82" i="4"/>
  <c r="C83" i="4"/>
  <c r="D83" i="4"/>
  <c r="E83" i="4"/>
  <c r="F83" i="4"/>
  <c r="H83" i="4" s="1"/>
  <c r="C84" i="4"/>
  <c r="D84" i="4"/>
  <c r="E84" i="4"/>
  <c r="F84" i="4"/>
  <c r="C85" i="4"/>
  <c r="D85" i="4"/>
  <c r="E85" i="4"/>
  <c r="F85" i="4"/>
  <c r="C8" i="5"/>
  <c r="J8" i="5" s="1"/>
  <c r="D8" i="5"/>
  <c r="H8" i="5" s="1"/>
  <c r="E8" i="5"/>
  <c r="F8" i="5"/>
  <c r="C9" i="5"/>
  <c r="D9" i="5"/>
  <c r="G9" i="5" s="1"/>
  <c r="E9" i="5"/>
  <c r="F9" i="5"/>
  <c r="C10" i="5"/>
  <c r="D10" i="5"/>
  <c r="E10" i="5"/>
  <c r="F10" i="5"/>
  <c r="C11" i="5"/>
  <c r="D11" i="5"/>
  <c r="G11" i="5" s="1"/>
  <c r="E11" i="5"/>
  <c r="F11" i="5"/>
  <c r="C12" i="5"/>
  <c r="D12" i="5"/>
  <c r="G12" i="5" s="1"/>
  <c r="E12" i="5"/>
  <c r="F12" i="5"/>
  <c r="H12" i="5"/>
  <c r="C13" i="5"/>
  <c r="D13" i="5"/>
  <c r="G13" i="5" s="1"/>
  <c r="E13" i="5"/>
  <c r="F13" i="5"/>
  <c r="C14" i="5"/>
  <c r="D14" i="5"/>
  <c r="E14" i="5"/>
  <c r="F14" i="5"/>
  <c r="C15" i="5"/>
  <c r="D15" i="5"/>
  <c r="G15" i="5" s="1"/>
  <c r="E15" i="5"/>
  <c r="F15" i="5"/>
  <c r="C16" i="5"/>
  <c r="D16" i="5"/>
  <c r="G16" i="5" s="1"/>
  <c r="E16" i="5"/>
  <c r="F16" i="5"/>
  <c r="C17" i="5"/>
  <c r="D17" i="5"/>
  <c r="G17" i="5" s="1"/>
  <c r="E17" i="5"/>
  <c r="F17" i="5"/>
  <c r="C18" i="5"/>
  <c r="D18" i="5"/>
  <c r="E18" i="5"/>
  <c r="F18" i="5"/>
  <c r="C19" i="5"/>
  <c r="D19" i="5"/>
  <c r="G19" i="5" s="1"/>
  <c r="E19" i="5"/>
  <c r="F19" i="5"/>
  <c r="C20" i="5"/>
  <c r="D20" i="5"/>
  <c r="E20" i="5"/>
  <c r="F20" i="5"/>
  <c r="H20" i="5"/>
  <c r="C21" i="5"/>
  <c r="D21" i="5"/>
  <c r="G21" i="5" s="1"/>
  <c r="E21" i="5"/>
  <c r="F21" i="5"/>
  <c r="C22" i="5"/>
  <c r="D22" i="5"/>
  <c r="E22" i="5"/>
  <c r="F22" i="5"/>
  <c r="C23" i="5"/>
  <c r="D23" i="5"/>
  <c r="G23" i="5" s="1"/>
  <c r="E23" i="5"/>
  <c r="F23" i="5"/>
  <c r="C24" i="5"/>
  <c r="D24" i="5"/>
  <c r="E24" i="5"/>
  <c r="F24" i="5"/>
  <c r="C25" i="5"/>
  <c r="D25" i="5"/>
  <c r="G25" i="5" s="1"/>
  <c r="E25" i="5"/>
  <c r="F25" i="5"/>
  <c r="C26" i="5"/>
  <c r="D26" i="5"/>
  <c r="E26" i="5"/>
  <c r="F26" i="5"/>
  <c r="C27" i="5"/>
  <c r="D27" i="5"/>
  <c r="G27" i="5" s="1"/>
  <c r="E27" i="5"/>
  <c r="F27" i="5"/>
  <c r="C28" i="5"/>
  <c r="D28" i="5"/>
  <c r="E28" i="5"/>
  <c r="F28" i="5"/>
  <c r="H28" i="5"/>
  <c r="C29" i="5"/>
  <c r="D29" i="5"/>
  <c r="G29" i="5" s="1"/>
  <c r="E29" i="5"/>
  <c r="F29" i="5"/>
  <c r="C30" i="5"/>
  <c r="D30" i="5"/>
  <c r="E30" i="5"/>
  <c r="F30" i="5"/>
  <c r="C31" i="5"/>
  <c r="D31" i="5"/>
  <c r="G31" i="5" s="1"/>
  <c r="E31" i="5"/>
  <c r="F31" i="5"/>
  <c r="C32" i="5"/>
  <c r="D32" i="5"/>
  <c r="E32" i="5"/>
  <c r="F32" i="5"/>
  <c r="C33" i="5"/>
  <c r="D33" i="5"/>
  <c r="G33" i="5" s="1"/>
  <c r="E33" i="5"/>
  <c r="F33" i="5"/>
  <c r="C34" i="5"/>
  <c r="D34" i="5"/>
  <c r="E34" i="5"/>
  <c r="F34" i="5"/>
  <c r="C35" i="5"/>
  <c r="D35" i="5"/>
  <c r="G35" i="5" s="1"/>
  <c r="E35" i="5"/>
  <c r="F35" i="5"/>
  <c r="C36" i="5"/>
  <c r="D36" i="5"/>
  <c r="E36" i="5"/>
  <c r="F36" i="5"/>
  <c r="H36" i="5"/>
  <c r="C37" i="5"/>
  <c r="D37" i="5"/>
  <c r="G37" i="5" s="1"/>
  <c r="E37" i="5"/>
  <c r="F37" i="5"/>
  <c r="C38" i="5"/>
  <c r="D38" i="5"/>
  <c r="E38" i="5"/>
  <c r="F38" i="5"/>
  <c r="C39" i="5"/>
  <c r="D39" i="5"/>
  <c r="G39" i="5" s="1"/>
  <c r="E39" i="5"/>
  <c r="F39" i="5"/>
  <c r="C40" i="5"/>
  <c r="D40" i="5"/>
  <c r="E40" i="5"/>
  <c r="F40" i="5"/>
  <c r="C41" i="5"/>
  <c r="D41" i="5"/>
  <c r="G41" i="5" s="1"/>
  <c r="E41" i="5"/>
  <c r="F41" i="5"/>
  <c r="C42" i="5"/>
  <c r="D42" i="5"/>
  <c r="E42" i="5"/>
  <c r="F42" i="5"/>
  <c r="C43" i="5"/>
  <c r="D43" i="5"/>
  <c r="G43" i="5" s="1"/>
  <c r="E43" i="5"/>
  <c r="F43" i="5"/>
  <c r="C44" i="5"/>
  <c r="D44" i="5"/>
  <c r="E44" i="5"/>
  <c r="F44" i="5"/>
  <c r="H44" i="5"/>
  <c r="C45" i="5"/>
  <c r="D45" i="5"/>
  <c r="G45" i="5" s="1"/>
  <c r="E45" i="5"/>
  <c r="F45" i="5"/>
  <c r="C46" i="5"/>
  <c r="D46" i="5"/>
  <c r="E46" i="5"/>
  <c r="F46" i="5"/>
  <c r="C47" i="5"/>
  <c r="D47" i="5"/>
  <c r="G47" i="5" s="1"/>
  <c r="E47" i="5"/>
  <c r="F47" i="5"/>
  <c r="C48" i="5"/>
  <c r="D48" i="5"/>
  <c r="E48" i="5"/>
  <c r="F48" i="5"/>
  <c r="C49" i="5"/>
  <c r="D49" i="5"/>
  <c r="G49" i="5" s="1"/>
  <c r="E49" i="5"/>
  <c r="F49" i="5"/>
  <c r="C50" i="5"/>
  <c r="D50" i="5"/>
  <c r="E50" i="5"/>
  <c r="F50" i="5"/>
  <c r="C51" i="5"/>
  <c r="D51" i="5"/>
  <c r="G51" i="5" s="1"/>
  <c r="E51" i="5"/>
  <c r="F51" i="5"/>
  <c r="C52" i="5"/>
  <c r="D52" i="5"/>
  <c r="E52" i="5"/>
  <c r="F52" i="5"/>
  <c r="H52" i="5"/>
  <c r="C53" i="5"/>
  <c r="D53" i="5"/>
  <c r="G53" i="5" s="1"/>
  <c r="E53" i="5"/>
  <c r="F53" i="5"/>
  <c r="C54" i="5"/>
  <c r="D54" i="5"/>
  <c r="E54" i="5"/>
  <c r="F54" i="5"/>
  <c r="C55" i="5"/>
  <c r="D55" i="5"/>
  <c r="G55" i="5" s="1"/>
  <c r="E55" i="5"/>
  <c r="F55" i="5"/>
  <c r="C56" i="5"/>
  <c r="D56" i="5"/>
  <c r="E56" i="5"/>
  <c r="F56" i="5"/>
  <c r="C57" i="5"/>
  <c r="D57" i="5"/>
  <c r="G57" i="5" s="1"/>
  <c r="E57" i="5"/>
  <c r="F57" i="5"/>
  <c r="C58" i="5"/>
  <c r="D58" i="5"/>
  <c r="E58" i="5"/>
  <c r="F58" i="5"/>
  <c r="C59" i="5"/>
  <c r="D59" i="5"/>
  <c r="G59" i="5" s="1"/>
  <c r="E59" i="5"/>
  <c r="F59" i="5"/>
  <c r="C60" i="5"/>
  <c r="D60" i="5"/>
  <c r="E60" i="5"/>
  <c r="F60" i="5"/>
  <c r="H60" i="5"/>
  <c r="C61" i="5"/>
  <c r="D61" i="5"/>
  <c r="G61" i="5" s="1"/>
  <c r="E61" i="5"/>
  <c r="F61" i="5"/>
  <c r="C62" i="5"/>
  <c r="D62" i="5"/>
  <c r="E62" i="5"/>
  <c r="F62" i="5"/>
  <c r="C63" i="5"/>
  <c r="D63" i="5"/>
  <c r="G63" i="5" s="1"/>
  <c r="E63" i="5"/>
  <c r="F63" i="5"/>
  <c r="C64" i="5"/>
  <c r="D64" i="5"/>
  <c r="E64" i="5"/>
  <c r="F64" i="5"/>
  <c r="C65" i="5"/>
  <c r="D65" i="5"/>
  <c r="G65" i="5" s="1"/>
  <c r="E65" i="5"/>
  <c r="F65" i="5"/>
  <c r="C66" i="5"/>
  <c r="D66" i="5"/>
  <c r="E66" i="5"/>
  <c r="F66" i="5"/>
  <c r="C67" i="5"/>
  <c r="D67" i="5"/>
  <c r="G67" i="5" s="1"/>
  <c r="E67" i="5"/>
  <c r="F67" i="5"/>
  <c r="C68" i="5"/>
  <c r="D68" i="5"/>
  <c r="E68" i="5"/>
  <c r="F68" i="5"/>
  <c r="H68" i="5"/>
  <c r="C69" i="5"/>
  <c r="D69" i="5"/>
  <c r="G69" i="5" s="1"/>
  <c r="E69" i="5"/>
  <c r="F69" i="5"/>
  <c r="C70" i="5"/>
  <c r="D70" i="5"/>
  <c r="E70" i="5"/>
  <c r="F70" i="5"/>
  <c r="C71" i="5"/>
  <c r="D71" i="5"/>
  <c r="G71" i="5" s="1"/>
  <c r="E71" i="5"/>
  <c r="F71" i="5"/>
  <c r="C72" i="5"/>
  <c r="D72" i="5"/>
  <c r="E72" i="5"/>
  <c r="H72" i="5" s="1"/>
  <c r="F72" i="5"/>
  <c r="C73" i="5"/>
  <c r="D73" i="5"/>
  <c r="G73" i="5" s="1"/>
  <c r="E73" i="5"/>
  <c r="F73" i="5"/>
  <c r="C74" i="5"/>
  <c r="D74" i="5"/>
  <c r="E74" i="5"/>
  <c r="F74" i="5"/>
  <c r="C75" i="5"/>
  <c r="D75" i="5"/>
  <c r="G75" i="5" s="1"/>
  <c r="E75" i="5"/>
  <c r="F75" i="5"/>
  <c r="C76" i="5"/>
  <c r="D76" i="5"/>
  <c r="E76" i="5"/>
  <c r="F76" i="5"/>
  <c r="H76" i="5" s="1"/>
  <c r="C77" i="5"/>
  <c r="D77" i="5"/>
  <c r="G77" i="5" s="1"/>
  <c r="E77" i="5"/>
  <c r="F77" i="5"/>
  <c r="C78" i="5"/>
  <c r="D78" i="5"/>
  <c r="E78" i="5"/>
  <c r="F78" i="5"/>
  <c r="C79" i="5"/>
  <c r="D79" i="5"/>
  <c r="H79" i="5" s="1"/>
  <c r="E79" i="5"/>
  <c r="F79" i="5"/>
  <c r="C80" i="5"/>
  <c r="D80" i="5"/>
  <c r="E80" i="5"/>
  <c r="F80" i="5"/>
  <c r="C81" i="5"/>
  <c r="D81" i="5"/>
  <c r="H81" i="5" s="1"/>
  <c r="E81" i="5"/>
  <c r="F81" i="5"/>
  <c r="C82" i="5"/>
  <c r="D82" i="5"/>
  <c r="G82" i="5" s="1"/>
  <c r="E82" i="5"/>
  <c r="F82" i="5"/>
  <c r="C83" i="5"/>
  <c r="D83" i="5"/>
  <c r="E83" i="5"/>
  <c r="F83" i="5"/>
  <c r="C84" i="5"/>
  <c r="D84" i="5"/>
  <c r="E84" i="5"/>
  <c r="F84" i="5"/>
  <c r="C85" i="5"/>
  <c r="D85" i="5"/>
  <c r="G85" i="5" s="1"/>
  <c r="E85" i="5"/>
  <c r="F85" i="5"/>
  <c r="C6" i="69"/>
  <c r="J12" i="69"/>
  <c r="J14" i="69"/>
  <c r="J16" i="69"/>
  <c r="J18" i="69"/>
  <c r="J20" i="69"/>
  <c r="J22" i="69"/>
  <c r="J24" i="69"/>
  <c r="J26" i="69"/>
  <c r="J28" i="69"/>
  <c r="J30" i="69"/>
  <c r="J32" i="69"/>
  <c r="J34" i="69"/>
  <c r="J36" i="69"/>
  <c r="J38" i="69"/>
  <c r="J40" i="69"/>
  <c r="J42" i="69"/>
  <c r="J44" i="69"/>
  <c r="J46" i="69"/>
  <c r="J48" i="69"/>
  <c r="J50" i="69"/>
  <c r="F6" i="67"/>
  <c r="L13" i="2" s="1"/>
  <c r="G14" i="67"/>
  <c r="H14" i="67"/>
  <c r="AA14" i="67"/>
  <c r="S14" i="67" s="1"/>
  <c r="G15" i="67"/>
  <c r="H15" i="67"/>
  <c r="T15" i="67"/>
  <c r="U15" i="67" s="1"/>
  <c r="AF15" i="67"/>
  <c r="G16" i="67"/>
  <c r="H16" i="67"/>
  <c r="T16" i="67"/>
  <c r="U16" i="67" s="1"/>
  <c r="AF16" i="67"/>
  <c r="G18" i="67"/>
  <c r="H18" i="67"/>
  <c r="AA18" i="67"/>
  <c r="S18" i="67" s="1"/>
  <c r="G19" i="67"/>
  <c r="H19" i="67"/>
  <c r="T19" i="67"/>
  <c r="U19" i="67"/>
  <c r="AF19" i="67"/>
  <c r="G20" i="67"/>
  <c r="H20" i="67"/>
  <c r="T20" i="67"/>
  <c r="U20" i="67" s="1"/>
  <c r="AF20" i="67"/>
  <c r="F23" i="67"/>
  <c r="F25" i="67"/>
  <c r="G25" i="67"/>
  <c r="H25" i="67"/>
  <c r="I25" i="67"/>
  <c r="J25" i="67"/>
  <c r="K25" i="67"/>
  <c r="L25" i="67"/>
  <c r="M25" i="67"/>
  <c r="N25" i="67"/>
  <c r="O25" i="67"/>
  <c r="P25" i="67"/>
  <c r="S25" i="67"/>
  <c r="T25" i="67"/>
  <c r="U25" i="67"/>
  <c r="V25" i="67"/>
  <c r="Z25" i="67"/>
  <c r="F27" i="67"/>
  <c r="G27" i="67"/>
  <c r="H27" i="67"/>
  <c r="I27" i="67"/>
  <c r="J27" i="67"/>
  <c r="K27" i="67"/>
  <c r="L27" i="67"/>
  <c r="M27" i="67"/>
  <c r="N27" i="67"/>
  <c r="O27" i="67"/>
  <c r="P27" i="67"/>
  <c r="S27" i="67"/>
  <c r="T27" i="67"/>
  <c r="U27" i="67"/>
  <c r="V27" i="67"/>
  <c r="Z27" i="67"/>
  <c r="F29" i="67"/>
  <c r="G29" i="67"/>
  <c r="H29" i="67"/>
  <c r="I29" i="67"/>
  <c r="J29" i="67"/>
  <c r="K29" i="67"/>
  <c r="L29" i="67"/>
  <c r="M29" i="67"/>
  <c r="N29" i="67"/>
  <c r="O29" i="67"/>
  <c r="P29" i="67"/>
  <c r="S29" i="67"/>
  <c r="T29" i="67"/>
  <c r="U29" i="67"/>
  <c r="V29" i="67"/>
  <c r="Z29" i="67"/>
  <c r="F31" i="67"/>
  <c r="G31" i="67"/>
  <c r="H31" i="67"/>
  <c r="I31" i="67"/>
  <c r="J31" i="67"/>
  <c r="K31" i="67"/>
  <c r="L31" i="67"/>
  <c r="M31" i="67"/>
  <c r="N31" i="67"/>
  <c r="O31" i="67"/>
  <c r="P31" i="67"/>
  <c r="S31" i="67"/>
  <c r="T31" i="67"/>
  <c r="U31" i="67"/>
  <c r="V31" i="67"/>
  <c r="Z31" i="67"/>
  <c r="F33" i="67"/>
  <c r="G33" i="67"/>
  <c r="H33" i="67"/>
  <c r="I33" i="67"/>
  <c r="J33" i="67"/>
  <c r="K33" i="67"/>
  <c r="L33" i="67"/>
  <c r="M33" i="67"/>
  <c r="N33" i="67"/>
  <c r="O33" i="67"/>
  <c r="P33" i="67"/>
  <c r="S33" i="67"/>
  <c r="T33" i="67"/>
  <c r="U33" i="67"/>
  <c r="V33" i="67"/>
  <c r="Z33" i="67"/>
  <c r="F35" i="67"/>
  <c r="G35" i="67"/>
  <c r="H35" i="67"/>
  <c r="I35" i="67"/>
  <c r="J35" i="67"/>
  <c r="K35" i="67"/>
  <c r="L35" i="67"/>
  <c r="M35" i="67"/>
  <c r="N35" i="67"/>
  <c r="O35" i="67"/>
  <c r="P35" i="67"/>
  <c r="S35" i="67"/>
  <c r="T35" i="67"/>
  <c r="U35" i="67"/>
  <c r="V35" i="67"/>
  <c r="Z35" i="67"/>
  <c r="F37" i="67"/>
  <c r="F39" i="67"/>
  <c r="F41" i="67"/>
  <c r="F43" i="67"/>
  <c r="F45" i="67"/>
  <c r="F47" i="67"/>
  <c r="F49" i="67"/>
  <c r="F51" i="67"/>
  <c r="F53" i="67"/>
  <c r="F55" i="67"/>
  <c r="F57" i="67"/>
  <c r="F59" i="67"/>
  <c r="F61" i="67"/>
  <c r="AA64" i="67"/>
  <c r="G87" i="67"/>
  <c r="K87" i="67"/>
  <c r="N87" i="67" s="1"/>
  <c r="G88" i="67"/>
  <c r="K88" i="67"/>
  <c r="N88" i="67" s="1"/>
  <c r="G89" i="67"/>
  <c r="K89" i="67"/>
  <c r="N89" i="67" s="1"/>
  <c r="G90" i="67"/>
  <c r="K90" i="67"/>
  <c r="N90" i="67" s="1"/>
  <c r="G91" i="67"/>
  <c r="K91" i="67"/>
  <c r="N91" i="67" s="1"/>
  <c r="G92" i="67"/>
  <c r="K92" i="67"/>
  <c r="N92" i="67" s="1"/>
  <c r="G93" i="67"/>
  <c r="K93" i="67"/>
  <c r="N93" i="67" s="1"/>
  <c r="G94" i="67"/>
  <c r="K94" i="67"/>
  <c r="N94" i="67" s="1"/>
  <c r="G95" i="67"/>
  <c r="K95" i="67"/>
  <c r="N95" i="67" s="1"/>
  <c r="G96" i="67"/>
  <c r="K96" i="67"/>
  <c r="N96" i="67" s="1"/>
  <c r="BD27" i="68"/>
  <c r="AD47" i="68" s="1"/>
  <c r="BF27" i="68"/>
  <c r="AD49" i="68" s="1"/>
  <c r="BT27" i="68"/>
  <c r="AD63" i="68" s="1"/>
  <c r="BV27" i="68"/>
  <c r="AD65" i="68" s="1"/>
  <c r="BX27" i="68"/>
  <c r="AD67" i="68" s="1"/>
  <c r="BZ27" i="68"/>
  <c r="AD69" i="68" s="1"/>
  <c r="CB27" i="68"/>
  <c r="AD71" i="68" s="1"/>
  <c r="CD27" i="68"/>
  <c r="AD73" i="68" s="1"/>
  <c r="CF27" i="68"/>
  <c r="AD75" i="68" s="1"/>
  <c r="BB28" i="68"/>
  <c r="AE45" i="68" s="1"/>
  <c r="BD28" i="68"/>
  <c r="AE47" i="68" s="1"/>
  <c r="BF28" i="68"/>
  <c r="AE49" i="68" s="1"/>
  <c r="BJ28" i="68"/>
  <c r="AE53" i="68" s="1"/>
  <c r="BR28" i="68"/>
  <c r="AE61" i="68" s="1"/>
  <c r="BT28" i="68"/>
  <c r="AE63" i="68" s="1"/>
  <c r="BV28" i="68"/>
  <c r="AE65" i="68" s="1"/>
  <c r="BX28" i="68"/>
  <c r="AE67" i="68" s="1"/>
  <c r="BZ28" i="68"/>
  <c r="AE69" i="68" s="1"/>
  <c r="CB28" i="68"/>
  <c r="AE71" i="68" s="1"/>
  <c r="CD28" i="68"/>
  <c r="AE73" i="68" s="1"/>
  <c r="CF28" i="68"/>
  <c r="AE75" i="68" s="1"/>
  <c r="D37" i="68"/>
  <c r="E37" i="68"/>
  <c r="B24" i="67" s="1"/>
  <c r="F37" i="68"/>
  <c r="I37" i="68"/>
  <c r="J37" i="68"/>
  <c r="K37" i="68"/>
  <c r="X37" i="68"/>
  <c r="W37" i="68" s="1"/>
  <c r="Q37" i="68" s="1"/>
  <c r="R37" i="68" s="1"/>
  <c r="M37" i="68"/>
  <c r="N37" i="68"/>
  <c r="T37" i="68" s="1"/>
  <c r="V37" i="68"/>
  <c r="Y37" i="68"/>
  <c r="Z37" i="68"/>
  <c r="AA37" i="68"/>
  <c r="AB37" i="68"/>
  <c r="AC37" i="68"/>
  <c r="AD37" i="68"/>
  <c r="AE37" i="68"/>
  <c r="AF37" i="68"/>
  <c r="AG37" i="68"/>
  <c r="AH37" i="68"/>
  <c r="AI37" i="68"/>
  <c r="AJ37" i="68"/>
  <c r="AL37" i="68"/>
  <c r="D12" i="69" s="1"/>
  <c r="AM37" i="68"/>
  <c r="B12" i="69" s="1"/>
  <c r="AN37" i="68"/>
  <c r="C12" i="69" s="1"/>
  <c r="AO37" i="68"/>
  <c r="G12" i="69" s="1"/>
  <c r="AP37" i="68"/>
  <c r="H12" i="69" s="1"/>
  <c r="AQ37" i="68"/>
  <c r="F12" i="69" s="1"/>
  <c r="AR37" i="68"/>
  <c r="E12" i="69" s="1"/>
  <c r="AS37" i="68"/>
  <c r="I12" i="69" s="1"/>
  <c r="AV37" i="68"/>
  <c r="D39" i="68" s="1"/>
  <c r="AX37" i="68"/>
  <c r="D41" i="68" s="1"/>
  <c r="AZ37" i="68"/>
  <c r="BB37" i="68"/>
  <c r="BD37" i="68"/>
  <c r="D47" i="68" s="1"/>
  <c r="BF37" i="68"/>
  <c r="D49" i="68" s="1"/>
  <c r="F36" i="67" s="1"/>
  <c r="D32" i="2" s="1"/>
  <c r="BH37" i="68"/>
  <c r="BJ37" i="68"/>
  <c r="BL37" i="68"/>
  <c r="D55" i="68" s="1"/>
  <c r="BN37" i="68"/>
  <c r="BP37" i="68"/>
  <c r="BR37" i="68"/>
  <c r="BT37" i="68"/>
  <c r="D63" i="68"/>
  <c r="BV37" i="68"/>
  <c r="BX37" i="68"/>
  <c r="BZ37" i="68"/>
  <c r="CB37" i="68"/>
  <c r="D71" i="68" s="1"/>
  <c r="CD37" i="68"/>
  <c r="CF37" i="68"/>
  <c r="D75" i="68" s="1"/>
  <c r="V38" i="68"/>
  <c r="W38" i="68"/>
  <c r="Y38" i="68"/>
  <c r="E39" i="68"/>
  <c r="F39" i="68"/>
  <c r="H39" i="68" s="1"/>
  <c r="I39" i="68"/>
  <c r="J39" i="68"/>
  <c r="K39" i="68"/>
  <c r="M39" i="68"/>
  <c r="N39" i="68"/>
  <c r="T39" i="68" s="1"/>
  <c r="V39" i="68"/>
  <c r="X39" i="68"/>
  <c r="W39" i="68"/>
  <c r="Y39" i="68"/>
  <c r="Z39" i="68"/>
  <c r="AA39" i="68"/>
  <c r="AB39" i="68"/>
  <c r="AC39" i="68"/>
  <c r="AD39" i="68"/>
  <c r="AE39" i="68"/>
  <c r="AF39" i="68"/>
  <c r="AG39" i="68"/>
  <c r="AH39" i="68"/>
  <c r="AI39" i="68"/>
  <c r="AJ39" i="68"/>
  <c r="AL39" i="68"/>
  <c r="D14" i="69"/>
  <c r="AM39" i="68"/>
  <c r="B14" i="69"/>
  <c r="AN39" i="68"/>
  <c r="C14" i="69"/>
  <c r="AO39" i="68"/>
  <c r="G14" i="69"/>
  <c r="AP39" i="68"/>
  <c r="H14" i="69"/>
  <c r="AQ39" i="68"/>
  <c r="F14" i="69"/>
  <c r="AR39" i="68"/>
  <c r="E14" i="69"/>
  <c r="AS39" i="68"/>
  <c r="I14" i="69"/>
  <c r="G40" i="68"/>
  <c r="H40" i="68"/>
  <c r="L40" i="68"/>
  <c r="O40" i="68"/>
  <c r="P40" i="68" s="1"/>
  <c r="T40" i="68"/>
  <c r="V40" i="68"/>
  <c r="X40" i="68"/>
  <c r="W40" i="68" s="1"/>
  <c r="Y40" i="68"/>
  <c r="E41" i="68"/>
  <c r="B28" i="67" s="1"/>
  <c r="T28" i="67" s="1"/>
  <c r="F41" i="68"/>
  <c r="C28" i="67" s="1"/>
  <c r="I41" i="68"/>
  <c r="J41" i="68"/>
  <c r="S41" i="68" s="1"/>
  <c r="U28" i="67" s="1"/>
  <c r="AF28" i="67" s="1"/>
  <c r="K41" i="68"/>
  <c r="M41" i="68"/>
  <c r="N41" i="68"/>
  <c r="T41" i="68"/>
  <c r="V41" i="68"/>
  <c r="X41" i="68"/>
  <c r="W41" i="68" s="1"/>
  <c r="Y41" i="68"/>
  <c r="Z41" i="68"/>
  <c r="AA41" i="68"/>
  <c r="AB41" i="68"/>
  <c r="AC41" i="68"/>
  <c r="AD41" i="68"/>
  <c r="AE41" i="68"/>
  <c r="AF41" i="68"/>
  <c r="AG41" i="68"/>
  <c r="AH41" i="68"/>
  <c r="AI41" i="68"/>
  <c r="AJ41" i="68"/>
  <c r="AL41" i="68"/>
  <c r="D16" i="69" s="1"/>
  <c r="AM41" i="68"/>
  <c r="B16" i="69" s="1"/>
  <c r="AN41" i="68"/>
  <c r="C16" i="69" s="1"/>
  <c r="AO41" i="68"/>
  <c r="G16" i="69" s="1"/>
  <c r="AP41" i="68"/>
  <c r="H16" i="69" s="1"/>
  <c r="AQ41" i="68"/>
  <c r="F16" i="69" s="1"/>
  <c r="AR41" i="68"/>
  <c r="E16" i="69" s="1"/>
  <c r="AS41" i="68"/>
  <c r="I16" i="69" s="1"/>
  <c r="G42" i="68"/>
  <c r="H42" i="68"/>
  <c r="L42" i="68"/>
  <c r="O42" i="68" s="1"/>
  <c r="T42" i="68"/>
  <c r="V42" i="68"/>
  <c r="X42" i="68"/>
  <c r="W42" i="68" s="1"/>
  <c r="Y42" i="68"/>
  <c r="D43" i="68"/>
  <c r="E43" i="68"/>
  <c r="B30" i="67" s="1"/>
  <c r="F43" i="68"/>
  <c r="H43" i="68" s="1"/>
  <c r="I43" i="68"/>
  <c r="J43" i="68"/>
  <c r="K43" i="68"/>
  <c r="M43" i="68"/>
  <c r="N43" i="68"/>
  <c r="T43" i="68" s="1"/>
  <c r="V43" i="68"/>
  <c r="X43" i="68"/>
  <c r="W43" i="68" s="1"/>
  <c r="Y43" i="68"/>
  <c r="Z43" i="68"/>
  <c r="AA43" i="68"/>
  <c r="AB43" i="68"/>
  <c r="AC43" i="68"/>
  <c r="AD43" i="68"/>
  <c r="AE43" i="68"/>
  <c r="AF43" i="68"/>
  <c r="AG43" i="68"/>
  <c r="AH43" i="68"/>
  <c r="AI43" i="68"/>
  <c r="AJ43" i="68"/>
  <c r="AM43" i="68"/>
  <c r="B18" i="69" s="1"/>
  <c r="AN43" i="68"/>
  <c r="C18" i="69" s="1"/>
  <c r="AO43" i="68"/>
  <c r="G18" i="69" s="1"/>
  <c r="AP43" i="68"/>
  <c r="H18" i="69" s="1"/>
  <c r="AQ43" i="68"/>
  <c r="F18" i="69" s="1"/>
  <c r="AR43" i="68"/>
  <c r="E18" i="69" s="1"/>
  <c r="AS43" i="68"/>
  <c r="I18" i="69" s="1"/>
  <c r="G44" i="68"/>
  <c r="H44" i="68"/>
  <c r="L44" i="68"/>
  <c r="O44" i="68" s="1"/>
  <c r="P44" i="68" s="1"/>
  <c r="T44" i="68"/>
  <c r="V44" i="68"/>
  <c r="X44" i="68"/>
  <c r="W44" i="68" s="1"/>
  <c r="U44" i="68" s="1"/>
  <c r="Y44" i="68"/>
  <c r="D45" i="68"/>
  <c r="E45" i="68"/>
  <c r="B32" i="67" s="1"/>
  <c r="F45" i="68"/>
  <c r="I45" i="68"/>
  <c r="J45" i="68"/>
  <c r="K45" i="68"/>
  <c r="M45" i="68"/>
  <c r="N45" i="68"/>
  <c r="T45" i="68" s="1"/>
  <c r="V45" i="68"/>
  <c r="X45" i="68"/>
  <c r="W45" i="68"/>
  <c r="Y45" i="68"/>
  <c r="Z45" i="68"/>
  <c r="AA45" i="68"/>
  <c r="AB45" i="68"/>
  <c r="AC45" i="68"/>
  <c r="AD45" i="68"/>
  <c r="AF45" i="68"/>
  <c r="AG45" i="68"/>
  <c r="AH45" i="68"/>
  <c r="AI45" i="68"/>
  <c r="AJ45" i="68"/>
  <c r="AL45" i="68"/>
  <c r="D20" i="69"/>
  <c r="AM45" i="68"/>
  <c r="B20" i="69"/>
  <c r="AN45" i="68"/>
  <c r="C20" i="69"/>
  <c r="AO45" i="68"/>
  <c r="G20" i="69"/>
  <c r="AP45" i="68"/>
  <c r="H20" i="69"/>
  <c r="AQ45" i="68"/>
  <c r="F20" i="69"/>
  <c r="AR45" i="68"/>
  <c r="E20" i="69"/>
  <c r="AS45" i="68"/>
  <c r="I20" i="69"/>
  <c r="G46" i="68"/>
  <c r="H46" i="68"/>
  <c r="L46" i="68"/>
  <c r="O46" i="68"/>
  <c r="T46" i="68"/>
  <c r="V46" i="68"/>
  <c r="X46" i="68"/>
  <c r="W46" i="68"/>
  <c r="Y46" i="68"/>
  <c r="E47" i="68"/>
  <c r="B34" i="67" s="1"/>
  <c r="F47" i="68"/>
  <c r="I47" i="68"/>
  <c r="J47" i="68"/>
  <c r="K47" i="68"/>
  <c r="M47" i="68"/>
  <c r="N47" i="68"/>
  <c r="T47" i="68"/>
  <c r="V47" i="68"/>
  <c r="X47" i="68"/>
  <c r="W47" i="68" s="1"/>
  <c r="Y47" i="68"/>
  <c r="Z47" i="68"/>
  <c r="AA47" i="68"/>
  <c r="AB47" i="68"/>
  <c r="AC47" i="68"/>
  <c r="AF47" i="68"/>
  <c r="AG47" i="68"/>
  <c r="AH47" i="68"/>
  <c r="AI47" i="68"/>
  <c r="AJ47" i="68"/>
  <c r="AL47" i="68"/>
  <c r="D22" i="69" s="1"/>
  <c r="AM47" i="68"/>
  <c r="B22" i="69" s="1"/>
  <c r="AN47" i="68"/>
  <c r="C22" i="69" s="1"/>
  <c r="AO47" i="68"/>
  <c r="G22" i="69" s="1"/>
  <c r="AP47" i="68"/>
  <c r="H22" i="69" s="1"/>
  <c r="AQ47" i="68"/>
  <c r="F22" i="69" s="1"/>
  <c r="AR47" i="68"/>
  <c r="E22" i="69" s="1"/>
  <c r="AS47" i="68"/>
  <c r="I22" i="69" s="1"/>
  <c r="G48" i="68"/>
  <c r="H48" i="68"/>
  <c r="L48" i="68"/>
  <c r="O48" i="68" s="1"/>
  <c r="P48" i="68" s="1"/>
  <c r="U48" i="68" s="1"/>
  <c r="T48" i="68"/>
  <c r="V48" i="68"/>
  <c r="X48" i="68"/>
  <c r="W48" i="68" s="1"/>
  <c r="Y48" i="68"/>
  <c r="E49" i="68"/>
  <c r="B36" i="67" s="1"/>
  <c r="F49" i="68"/>
  <c r="C36" i="67"/>
  <c r="I49" i="68"/>
  <c r="J49" i="68"/>
  <c r="K49" i="68"/>
  <c r="L49" i="68"/>
  <c r="O49" i="68" s="1"/>
  <c r="M49" i="68"/>
  <c r="N49" i="68"/>
  <c r="T49" i="68"/>
  <c r="V49" i="68"/>
  <c r="X49" i="68"/>
  <c r="W49" i="68" s="1"/>
  <c r="Y49" i="68"/>
  <c r="Z49" i="68"/>
  <c r="AA49" i="68"/>
  <c r="AB49" i="68"/>
  <c r="AC49" i="68"/>
  <c r="AF49" i="68"/>
  <c r="AG49" i="68"/>
  <c r="AH49" i="68"/>
  <c r="AI49" i="68"/>
  <c r="AJ49" i="68"/>
  <c r="AL49" i="68"/>
  <c r="D24" i="69" s="1"/>
  <c r="AM49" i="68"/>
  <c r="B24" i="69" s="1"/>
  <c r="AN49" i="68"/>
  <c r="C24" i="69" s="1"/>
  <c r="AO49" i="68"/>
  <c r="G24" i="69" s="1"/>
  <c r="AP49" i="68"/>
  <c r="H24" i="69" s="1"/>
  <c r="AQ49" i="68"/>
  <c r="F24" i="69" s="1"/>
  <c r="AR49" i="68"/>
  <c r="E24" i="69" s="1"/>
  <c r="AS49" i="68"/>
  <c r="I24" i="69" s="1"/>
  <c r="G50" i="68"/>
  <c r="H50" i="68"/>
  <c r="L50" i="68"/>
  <c r="O50" i="68" s="1"/>
  <c r="P50" i="68" s="1"/>
  <c r="T50" i="68"/>
  <c r="V50" i="68"/>
  <c r="X50" i="68"/>
  <c r="W50" i="68"/>
  <c r="U50" i="68" s="1"/>
  <c r="Y50" i="68"/>
  <c r="D51" i="68"/>
  <c r="E51" i="68"/>
  <c r="B38" i="67" s="1"/>
  <c r="T38" i="67" s="1"/>
  <c r="F51" i="68"/>
  <c r="I51" i="68"/>
  <c r="J51" i="68"/>
  <c r="S51" i="68" s="1"/>
  <c r="U38" i="67" s="1"/>
  <c r="AF38" i="67" s="1"/>
  <c r="K51" i="68"/>
  <c r="M51" i="68"/>
  <c r="N51" i="68"/>
  <c r="T51" i="68" s="1"/>
  <c r="V51" i="68"/>
  <c r="X51" i="68"/>
  <c r="W51" i="68"/>
  <c r="Y51" i="68"/>
  <c r="Z51" i="68"/>
  <c r="AA51" i="68"/>
  <c r="AB51" i="68"/>
  <c r="AC51" i="68"/>
  <c r="AD51" i="68"/>
  <c r="AE51" i="68"/>
  <c r="AF51" i="68"/>
  <c r="AG51" i="68"/>
  <c r="AH51" i="68"/>
  <c r="AI51" i="68"/>
  <c r="AJ51" i="68"/>
  <c r="AL51" i="68"/>
  <c r="D26" i="69" s="1"/>
  <c r="AM51" i="68"/>
  <c r="B26" i="69" s="1"/>
  <c r="AN51" i="68"/>
  <c r="C26" i="69" s="1"/>
  <c r="AO51" i="68"/>
  <c r="G26" i="69" s="1"/>
  <c r="AP51" i="68"/>
  <c r="H26" i="69" s="1"/>
  <c r="AQ51" i="68"/>
  <c r="F26" i="69" s="1"/>
  <c r="AR51" i="68"/>
  <c r="E26" i="69" s="1"/>
  <c r="AS51" i="68"/>
  <c r="I26" i="69" s="1"/>
  <c r="G52" i="68"/>
  <c r="H52" i="68"/>
  <c r="L52" i="68"/>
  <c r="O52" i="68" s="1"/>
  <c r="P52" i="68" s="1"/>
  <c r="T52" i="68"/>
  <c r="V52" i="68"/>
  <c r="X52" i="68"/>
  <c r="W52" i="68" s="1"/>
  <c r="Y52" i="68"/>
  <c r="D53" i="68"/>
  <c r="E53" i="68"/>
  <c r="B40" i="67" s="1"/>
  <c r="F53" i="68"/>
  <c r="C40" i="67" s="1"/>
  <c r="G53" i="68"/>
  <c r="G40" i="67" s="1"/>
  <c r="I53" i="68"/>
  <c r="J53" i="68"/>
  <c r="K53" i="68"/>
  <c r="L53" i="68"/>
  <c r="O53" i="68" s="1"/>
  <c r="M53" i="68"/>
  <c r="N53" i="68"/>
  <c r="T53" i="68"/>
  <c r="V53" i="68"/>
  <c r="X53" i="68"/>
  <c r="W53" i="68" s="1"/>
  <c r="Y53" i="68"/>
  <c r="Z53" i="68"/>
  <c r="AA53" i="68"/>
  <c r="AB53" i="68"/>
  <c r="AC53" i="68"/>
  <c r="AD53" i="68"/>
  <c r="AF53" i="68"/>
  <c r="AG53" i="68"/>
  <c r="AH53" i="68"/>
  <c r="AI53" i="68"/>
  <c r="AJ53" i="68"/>
  <c r="AL53" i="68"/>
  <c r="D28" i="69" s="1"/>
  <c r="AM53" i="68"/>
  <c r="B28" i="69" s="1"/>
  <c r="AN53" i="68"/>
  <c r="C28" i="69" s="1"/>
  <c r="AO53" i="68"/>
  <c r="G28" i="69" s="1"/>
  <c r="AP53" i="68"/>
  <c r="H28" i="69" s="1"/>
  <c r="AQ53" i="68"/>
  <c r="F28" i="69" s="1"/>
  <c r="AR53" i="68"/>
  <c r="E28" i="69" s="1"/>
  <c r="AS53" i="68"/>
  <c r="I28" i="69" s="1"/>
  <c r="G54" i="68"/>
  <c r="H54" i="68"/>
  <c r="L54" i="68"/>
  <c r="O54" i="68" s="1"/>
  <c r="T54" i="68"/>
  <c r="V54" i="68"/>
  <c r="X54" i="68"/>
  <c r="W54" i="68" s="1"/>
  <c r="Y54" i="68"/>
  <c r="E55" i="68"/>
  <c r="B42" i="67" s="1"/>
  <c r="F55" i="68"/>
  <c r="H55" i="68" s="1"/>
  <c r="H42" i="67" s="1"/>
  <c r="G55" i="68"/>
  <c r="G42" i="67" s="1"/>
  <c r="I55" i="68"/>
  <c r="J55" i="68"/>
  <c r="K55" i="68"/>
  <c r="M55" i="68"/>
  <c r="N55" i="68"/>
  <c r="T55" i="68"/>
  <c r="V55" i="68"/>
  <c r="X55" i="68"/>
  <c r="W55" i="68" s="1"/>
  <c r="Y55" i="68"/>
  <c r="Z55" i="68"/>
  <c r="AA55" i="68"/>
  <c r="AB55" i="68"/>
  <c r="AC55" i="68"/>
  <c r="AD55" i="68"/>
  <c r="AE55" i="68"/>
  <c r="AF55" i="68"/>
  <c r="AG55" i="68"/>
  <c r="AH55" i="68"/>
  <c r="AI55" i="68"/>
  <c r="AJ55" i="68"/>
  <c r="AL55" i="68"/>
  <c r="D30" i="69" s="1"/>
  <c r="AM55" i="68"/>
  <c r="B30" i="69" s="1"/>
  <c r="AN55" i="68"/>
  <c r="C30" i="69" s="1"/>
  <c r="AO55" i="68"/>
  <c r="G30" i="69" s="1"/>
  <c r="AP55" i="68"/>
  <c r="H30" i="69" s="1"/>
  <c r="AQ55" i="68"/>
  <c r="F30" i="69" s="1"/>
  <c r="AR55" i="68"/>
  <c r="E30" i="69" s="1"/>
  <c r="AS55" i="68"/>
  <c r="I30" i="69" s="1"/>
  <c r="G56" i="68"/>
  <c r="H56" i="68"/>
  <c r="L56" i="68"/>
  <c r="O56" i="68" s="1"/>
  <c r="T56" i="68"/>
  <c r="V56" i="68"/>
  <c r="X56" i="68"/>
  <c r="W56" i="68" s="1"/>
  <c r="Y56" i="68"/>
  <c r="D57" i="68"/>
  <c r="E57" i="68"/>
  <c r="F57" i="68"/>
  <c r="I57" i="68"/>
  <c r="J57" i="68"/>
  <c r="S57" i="68" s="1"/>
  <c r="K57" i="68"/>
  <c r="L57" i="68"/>
  <c r="M57" i="68"/>
  <c r="N57" i="68"/>
  <c r="T57" i="68" s="1"/>
  <c r="V57" i="68"/>
  <c r="X57" i="68"/>
  <c r="W57" i="68" s="1"/>
  <c r="Y57" i="68"/>
  <c r="Z57" i="68"/>
  <c r="AA57" i="68"/>
  <c r="AB57" i="68"/>
  <c r="AC57" i="68"/>
  <c r="AD57" i="68"/>
  <c r="AE57" i="68"/>
  <c r="AF57" i="68"/>
  <c r="AG57" i="68"/>
  <c r="AH57" i="68"/>
  <c r="AI57" i="68"/>
  <c r="AJ57" i="68"/>
  <c r="AL57" i="68"/>
  <c r="D32" i="69" s="1"/>
  <c r="AM57" i="68"/>
  <c r="B32" i="69" s="1"/>
  <c r="AN57" i="68"/>
  <c r="C32" i="69" s="1"/>
  <c r="AO57" i="68"/>
  <c r="G32" i="69" s="1"/>
  <c r="AP57" i="68"/>
  <c r="H32" i="69" s="1"/>
  <c r="AQ57" i="68"/>
  <c r="F32" i="69" s="1"/>
  <c r="AR57" i="68"/>
  <c r="E32" i="69" s="1"/>
  <c r="AS57" i="68"/>
  <c r="I32" i="69" s="1"/>
  <c r="G58" i="68"/>
  <c r="H58" i="68"/>
  <c r="L58" i="68"/>
  <c r="O58" i="68" s="1"/>
  <c r="P58" i="68"/>
  <c r="T58" i="68"/>
  <c r="V58" i="68"/>
  <c r="X58" i="68"/>
  <c r="W58" i="68"/>
  <c r="U58" i="68" s="1"/>
  <c r="Y58" i="68"/>
  <c r="D59" i="68"/>
  <c r="E59" i="68"/>
  <c r="B46" i="67" s="1"/>
  <c r="AB46" i="67" s="1"/>
  <c r="F59" i="68"/>
  <c r="C46" i="67" s="1"/>
  <c r="I59" i="68"/>
  <c r="I46" i="67" s="1"/>
  <c r="J59" i="68"/>
  <c r="K59" i="68"/>
  <c r="M59" i="68"/>
  <c r="N59" i="68"/>
  <c r="T59" i="68"/>
  <c r="V59" i="68"/>
  <c r="X59" i="68"/>
  <c r="W59" i="68" s="1"/>
  <c r="Q59" i="68" s="1"/>
  <c r="S46" i="67" s="1"/>
  <c r="Y59" i="68"/>
  <c r="Z59" i="68"/>
  <c r="AA59" i="68"/>
  <c r="AB59" i="68"/>
  <c r="AC59" i="68"/>
  <c r="AD59" i="68"/>
  <c r="AE59" i="68"/>
  <c r="AF59" i="68"/>
  <c r="AG59" i="68"/>
  <c r="AH59" i="68"/>
  <c r="AI59" i="68"/>
  <c r="AJ59" i="68"/>
  <c r="AL59" i="68"/>
  <c r="D34" i="69" s="1"/>
  <c r="AM59" i="68"/>
  <c r="B34" i="69" s="1"/>
  <c r="AN59" i="68"/>
  <c r="C34" i="69" s="1"/>
  <c r="AO59" i="68"/>
  <c r="G34" i="69" s="1"/>
  <c r="AP59" i="68"/>
  <c r="H34" i="69" s="1"/>
  <c r="AQ59" i="68"/>
  <c r="F34" i="69" s="1"/>
  <c r="AR59" i="68"/>
  <c r="E34" i="69" s="1"/>
  <c r="AS59" i="68"/>
  <c r="I34" i="69" s="1"/>
  <c r="G60" i="68"/>
  <c r="H60" i="68"/>
  <c r="L60" i="68"/>
  <c r="O60" i="68" s="1"/>
  <c r="T60" i="68"/>
  <c r="V60" i="68"/>
  <c r="X60" i="68"/>
  <c r="W60" i="68" s="1"/>
  <c r="Y60" i="68"/>
  <c r="D61" i="68"/>
  <c r="E61" i="68"/>
  <c r="B48" i="67" s="1"/>
  <c r="F61" i="68"/>
  <c r="C48" i="67" s="1"/>
  <c r="I61" i="68"/>
  <c r="J61" i="68"/>
  <c r="S61" i="68" s="1"/>
  <c r="U48" i="67" s="1"/>
  <c r="AF48" i="67" s="1"/>
  <c r="K61" i="68"/>
  <c r="M61" i="68"/>
  <c r="N61" i="68"/>
  <c r="T61" i="68" s="1"/>
  <c r="V61" i="68"/>
  <c r="X61" i="68"/>
  <c r="W61" i="68"/>
  <c r="Y61" i="68"/>
  <c r="Z61" i="68"/>
  <c r="AA61" i="68"/>
  <c r="AB61" i="68"/>
  <c r="AC61" i="68"/>
  <c r="AD61" i="68"/>
  <c r="AF61" i="68"/>
  <c r="AG61" i="68"/>
  <c r="AH61" i="68"/>
  <c r="AI61" i="68"/>
  <c r="AJ61" i="68"/>
  <c r="AL61" i="68"/>
  <c r="D36" i="69" s="1"/>
  <c r="AM61" i="68"/>
  <c r="B36" i="69" s="1"/>
  <c r="AN61" i="68"/>
  <c r="C36" i="69" s="1"/>
  <c r="AO61" i="68"/>
  <c r="G36" i="69" s="1"/>
  <c r="AP61" i="68"/>
  <c r="H36" i="69" s="1"/>
  <c r="AQ61" i="68"/>
  <c r="F36" i="69" s="1"/>
  <c r="AR61" i="68"/>
  <c r="E36" i="69" s="1"/>
  <c r="AS61" i="68"/>
  <c r="I36" i="69" s="1"/>
  <c r="G62" i="68"/>
  <c r="H62" i="68"/>
  <c r="L62" i="68"/>
  <c r="O62" i="68" s="1"/>
  <c r="P62" i="68" s="1"/>
  <c r="T62" i="68"/>
  <c r="V62" i="68"/>
  <c r="X62" i="68"/>
  <c r="W62" i="68" s="1"/>
  <c r="Y62" i="68"/>
  <c r="E63" i="68"/>
  <c r="B50" i="67" s="1"/>
  <c r="AB50" i="67" s="1"/>
  <c r="F63" i="68"/>
  <c r="I63" i="68"/>
  <c r="J63" i="68"/>
  <c r="K63" i="68"/>
  <c r="L63" i="68"/>
  <c r="O63" i="68" s="1"/>
  <c r="P63" i="68" s="1"/>
  <c r="M63" i="68"/>
  <c r="N63" i="68"/>
  <c r="T63" i="68" s="1"/>
  <c r="V63" i="68"/>
  <c r="X63" i="68"/>
  <c r="W63" i="68"/>
  <c r="Y63" i="68"/>
  <c r="Z63" i="68"/>
  <c r="AA63" i="68"/>
  <c r="AB63" i="68"/>
  <c r="AC63" i="68"/>
  <c r="AF63" i="68"/>
  <c r="AG63" i="68"/>
  <c r="AH63" i="68"/>
  <c r="AI63" i="68"/>
  <c r="AJ63" i="68"/>
  <c r="AL63" i="68"/>
  <c r="D38" i="69"/>
  <c r="AM63" i="68"/>
  <c r="B38" i="69"/>
  <c r="AN63" i="68"/>
  <c r="C38" i="69"/>
  <c r="AO63" i="68"/>
  <c r="G38" i="69"/>
  <c r="AP63" i="68"/>
  <c r="H38" i="69"/>
  <c r="AQ63" i="68"/>
  <c r="F38" i="69"/>
  <c r="AR63" i="68"/>
  <c r="E38" i="69"/>
  <c r="AS63" i="68"/>
  <c r="I38" i="69"/>
  <c r="G64" i="68"/>
  <c r="H64" i="68"/>
  <c r="L64" i="68"/>
  <c r="O64" i="68"/>
  <c r="P64" i="68" s="1"/>
  <c r="T64" i="68"/>
  <c r="V64" i="68"/>
  <c r="X64" i="68"/>
  <c r="W64" i="68" s="1"/>
  <c r="Y64" i="68"/>
  <c r="D65" i="68"/>
  <c r="E65" i="68"/>
  <c r="B52" i="67" s="1"/>
  <c r="Z52" i="67" s="1"/>
  <c r="F65" i="68"/>
  <c r="C52" i="67" s="1"/>
  <c r="I65" i="68"/>
  <c r="J65" i="68"/>
  <c r="K65" i="68"/>
  <c r="L65" i="68" s="1"/>
  <c r="M65" i="68"/>
  <c r="N65" i="68"/>
  <c r="T65" i="68"/>
  <c r="V65" i="68"/>
  <c r="X65" i="68"/>
  <c r="W65" i="68" s="1"/>
  <c r="Q65" i="68" s="1"/>
  <c r="R65" i="68" s="1"/>
  <c r="S65" i="68" s="1"/>
  <c r="Y65" i="68"/>
  <c r="Z65" i="68"/>
  <c r="AA65" i="68"/>
  <c r="AB65" i="68"/>
  <c r="AC65" i="68"/>
  <c r="AF65" i="68"/>
  <c r="AG65" i="68"/>
  <c r="AH65" i="68"/>
  <c r="AI65" i="68"/>
  <c r="AJ65" i="68"/>
  <c r="AL65" i="68"/>
  <c r="D40" i="69" s="1"/>
  <c r="AM65" i="68"/>
  <c r="B40" i="69" s="1"/>
  <c r="AN65" i="68"/>
  <c r="C40" i="69" s="1"/>
  <c r="AO65" i="68"/>
  <c r="G40" i="69" s="1"/>
  <c r="AP65" i="68"/>
  <c r="H40" i="69" s="1"/>
  <c r="AQ65" i="68"/>
  <c r="F40" i="69" s="1"/>
  <c r="AR65" i="68"/>
  <c r="E40" i="69" s="1"/>
  <c r="AS65" i="68"/>
  <c r="I40" i="69" s="1"/>
  <c r="G66" i="68"/>
  <c r="H66" i="68"/>
  <c r="L66" i="68"/>
  <c r="O66" i="68" s="1"/>
  <c r="P66" i="68" s="1"/>
  <c r="T66" i="68"/>
  <c r="V66" i="68"/>
  <c r="X66" i="68"/>
  <c r="W66" i="68" s="1"/>
  <c r="Q66" i="68" s="1"/>
  <c r="R66" i="68" s="1"/>
  <c r="S66" i="68" s="1"/>
  <c r="Y66" i="68"/>
  <c r="D67" i="68"/>
  <c r="E67" i="68"/>
  <c r="B54" i="67" s="1"/>
  <c r="F67" i="68"/>
  <c r="H67" i="68" s="1"/>
  <c r="C54" i="67"/>
  <c r="I67" i="68"/>
  <c r="J67" i="68"/>
  <c r="K67" i="68"/>
  <c r="L67" i="68" s="1"/>
  <c r="O67" i="68" s="1"/>
  <c r="M67" i="68"/>
  <c r="N67" i="68"/>
  <c r="T67" i="68" s="1"/>
  <c r="V67" i="68"/>
  <c r="X67" i="68"/>
  <c r="W67" i="68" s="1"/>
  <c r="Q67" i="68" s="1"/>
  <c r="R67" i="68" s="1"/>
  <c r="Y67" i="68"/>
  <c r="Z67" i="68"/>
  <c r="AA67" i="68"/>
  <c r="AB67" i="68"/>
  <c r="AC67" i="68"/>
  <c r="AF67" i="68"/>
  <c r="AG67" i="68"/>
  <c r="AH67" i="68"/>
  <c r="AI67" i="68"/>
  <c r="AJ67" i="68"/>
  <c r="AL67" i="68"/>
  <c r="D42" i="69" s="1"/>
  <c r="AM67" i="68"/>
  <c r="B42" i="69" s="1"/>
  <c r="AN67" i="68"/>
  <c r="C42" i="69" s="1"/>
  <c r="AO67" i="68"/>
  <c r="G42" i="69" s="1"/>
  <c r="AP67" i="68"/>
  <c r="H42" i="69" s="1"/>
  <c r="AQ67" i="68"/>
  <c r="F42" i="69" s="1"/>
  <c r="AR67" i="68"/>
  <c r="E42" i="69" s="1"/>
  <c r="AS67" i="68"/>
  <c r="I42" i="69" s="1"/>
  <c r="G68" i="68"/>
  <c r="H68" i="68"/>
  <c r="L68" i="68"/>
  <c r="O68" i="68" s="1"/>
  <c r="P68" i="68" s="1"/>
  <c r="T68" i="68"/>
  <c r="V68" i="68"/>
  <c r="X68" i="68"/>
  <c r="W68" i="68"/>
  <c r="Y68" i="68"/>
  <c r="D69" i="68"/>
  <c r="E69" i="68"/>
  <c r="B56" i="67"/>
  <c r="O56" i="67" s="1"/>
  <c r="AF56" i="67"/>
  <c r="F69" i="68"/>
  <c r="G69" i="68"/>
  <c r="I69" i="68"/>
  <c r="J69" i="68"/>
  <c r="K69" i="68"/>
  <c r="M69" i="68"/>
  <c r="N69" i="68"/>
  <c r="T69" i="68"/>
  <c r="V69" i="68"/>
  <c r="X69" i="68"/>
  <c r="W69" i="68" s="1"/>
  <c r="Q69" i="68" s="1"/>
  <c r="R69" i="68" s="1"/>
  <c r="S69" i="68" s="1"/>
  <c r="Y69" i="68"/>
  <c r="Z69" i="68"/>
  <c r="AA69" i="68"/>
  <c r="AB69" i="68"/>
  <c r="AC69" i="68"/>
  <c r="AF69" i="68"/>
  <c r="AG69" i="68"/>
  <c r="AH69" i="68"/>
  <c r="AI69" i="68"/>
  <c r="AJ69" i="68"/>
  <c r="AL69" i="68"/>
  <c r="D44" i="69" s="1"/>
  <c r="AM69" i="68"/>
  <c r="B44" i="69" s="1"/>
  <c r="AN69" i="68"/>
  <c r="C44" i="69" s="1"/>
  <c r="AO69" i="68"/>
  <c r="G44" i="69" s="1"/>
  <c r="AP69" i="68"/>
  <c r="H44" i="69" s="1"/>
  <c r="AQ69" i="68"/>
  <c r="F44" i="69" s="1"/>
  <c r="AR69" i="68"/>
  <c r="E44" i="69" s="1"/>
  <c r="AS69" i="68"/>
  <c r="I44" i="69" s="1"/>
  <c r="G70" i="68"/>
  <c r="H70" i="68"/>
  <c r="L70" i="68"/>
  <c r="O70" i="68" s="1"/>
  <c r="T70" i="68"/>
  <c r="V70" i="68"/>
  <c r="X70" i="68"/>
  <c r="W70" i="68" s="1"/>
  <c r="Y70" i="68"/>
  <c r="E71" i="68"/>
  <c r="B58" i="67" s="1"/>
  <c r="F71" i="68"/>
  <c r="C58" i="67" s="1"/>
  <c r="I71" i="68"/>
  <c r="J71" i="68"/>
  <c r="K71" i="68"/>
  <c r="L71" i="68" s="1"/>
  <c r="M71" i="68"/>
  <c r="N71" i="68"/>
  <c r="T71" i="68"/>
  <c r="V71" i="68"/>
  <c r="X71" i="68"/>
  <c r="W71" i="68" s="1"/>
  <c r="Q71" i="68" s="1"/>
  <c r="R71" i="68" s="1"/>
  <c r="S71" i="68" s="1"/>
  <c r="Y71" i="68"/>
  <c r="Z71" i="68"/>
  <c r="AA71" i="68"/>
  <c r="AB71" i="68"/>
  <c r="AC71" i="68"/>
  <c r="AF71" i="68"/>
  <c r="AG71" i="68"/>
  <c r="AH71" i="68"/>
  <c r="AI71" i="68"/>
  <c r="AJ71" i="68"/>
  <c r="AL71" i="68"/>
  <c r="D46" i="69" s="1"/>
  <c r="AM71" i="68"/>
  <c r="B46" i="69" s="1"/>
  <c r="AN71" i="68"/>
  <c r="C46" i="69" s="1"/>
  <c r="AO71" i="68"/>
  <c r="G46" i="69" s="1"/>
  <c r="AP71" i="68"/>
  <c r="H46" i="69" s="1"/>
  <c r="AQ71" i="68"/>
  <c r="F46" i="69" s="1"/>
  <c r="AR71" i="68"/>
  <c r="E46" i="69" s="1"/>
  <c r="AS71" i="68"/>
  <c r="I46" i="69" s="1"/>
  <c r="G72" i="68"/>
  <c r="H72" i="68"/>
  <c r="L72" i="68"/>
  <c r="O72" i="68" s="1"/>
  <c r="T72" i="68"/>
  <c r="V72" i="68"/>
  <c r="X72" i="68"/>
  <c r="W72" i="68" s="1"/>
  <c r="Q72" i="68" s="1"/>
  <c r="R72" i="68" s="1"/>
  <c r="S72" i="68" s="1"/>
  <c r="Y72" i="68"/>
  <c r="D73" i="68"/>
  <c r="E73" i="68"/>
  <c r="AF60" i="67"/>
  <c r="F73" i="68"/>
  <c r="C60" i="67" s="1"/>
  <c r="I73" i="68"/>
  <c r="J73" i="68"/>
  <c r="K73" i="68"/>
  <c r="L73" i="68" s="1"/>
  <c r="M73" i="68"/>
  <c r="N73" i="68"/>
  <c r="T73" i="68" s="1"/>
  <c r="V73" i="68"/>
  <c r="X73" i="68"/>
  <c r="W73" i="68" s="1"/>
  <c r="Y73" i="68"/>
  <c r="Z73" i="68"/>
  <c r="AA73" i="68"/>
  <c r="AB73" i="68"/>
  <c r="AC73" i="68"/>
  <c r="AF73" i="68"/>
  <c r="AG73" i="68"/>
  <c r="AH73" i="68"/>
  <c r="AI73" i="68"/>
  <c r="AJ73" i="68"/>
  <c r="AL73" i="68"/>
  <c r="D48" i="69" s="1"/>
  <c r="AM73" i="68"/>
  <c r="B48" i="69" s="1"/>
  <c r="AN73" i="68"/>
  <c r="C48" i="69" s="1"/>
  <c r="AO73" i="68"/>
  <c r="G48" i="69" s="1"/>
  <c r="AP73" i="68"/>
  <c r="H48" i="69" s="1"/>
  <c r="AQ73" i="68"/>
  <c r="F48" i="69" s="1"/>
  <c r="AR73" i="68"/>
  <c r="E48" i="69" s="1"/>
  <c r="AS73" i="68"/>
  <c r="I48" i="69" s="1"/>
  <c r="G74" i="68"/>
  <c r="H74" i="68"/>
  <c r="L74" i="68"/>
  <c r="O74" i="68" s="1"/>
  <c r="P74" i="68" s="1"/>
  <c r="T74" i="68"/>
  <c r="V74" i="68"/>
  <c r="X74" i="68"/>
  <c r="W74" i="68" s="1"/>
  <c r="Y74" i="68"/>
  <c r="E75" i="68"/>
  <c r="B62" i="67" s="1"/>
  <c r="AE62" i="67"/>
  <c r="F75" i="68"/>
  <c r="C62" i="67" s="1"/>
  <c r="I75" i="68"/>
  <c r="J75" i="68"/>
  <c r="K75" i="68"/>
  <c r="L75" i="68" s="1"/>
  <c r="M75" i="68"/>
  <c r="N75" i="68"/>
  <c r="T75" i="68" s="1"/>
  <c r="V75" i="68"/>
  <c r="X75" i="68"/>
  <c r="W75" i="68" s="1"/>
  <c r="Q75" i="68" s="1"/>
  <c r="Y75" i="68"/>
  <c r="Z75" i="68"/>
  <c r="AA75" i="68"/>
  <c r="AB75" i="68"/>
  <c r="AC75" i="68"/>
  <c r="AF75" i="68"/>
  <c r="AG75" i="68"/>
  <c r="AH75" i="68"/>
  <c r="AI75" i="68"/>
  <c r="AJ75" i="68"/>
  <c r="AL75" i="68"/>
  <c r="D50" i="69" s="1"/>
  <c r="AM75" i="68"/>
  <c r="B50" i="69" s="1"/>
  <c r="AN75" i="68"/>
  <c r="C50" i="69" s="1"/>
  <c r="AO75" i="68"/>
  <c r="G50" i="69" s="1"/>
  <c r="AP75" i="68"/>
  <c r="H50" i="69" s="1"/>
  <c r="AQ75" i="68"/>
  <c r="F50" i="69" s="1"/>
  <c r="AR75" i="68"/>
  <c r="E50" i="69" s="1"/>
  <c r="AS75" i="68"/>
  <c r="I50" i="69" s="1"/>
  <c r="H53" i="68"/>
  <c r="H40" i="67" s="1"/>
  <c r="K40" i="67"/>
  <c r="J40" i="67"/>
  <c r="N40" i="67"/>
  <c r="H49" i="68"/>
  <c r="H36" i="67" s="1"/>
  <c r="E36" i="67"/>
  <c r="C32" i="2" s="1"/>
  <c r="M36" i="67"/>
  <c r="L36" i="67"/>
  <c r="Q36" i="67" s="1"/>
  <c r="R36" i="67" s="1"/>
  <c r="V36" i="67"/>
  <c r="E32" i="67"/>
  <c r="C28" i="2" s="1"/>
  <c r="I32" i="67"/>
  <c r="M32" i="67"/>
  <c r="H41" i="68"/>
  <c r="H28" i="67" s="1"/>
  <c r="E28" i="67"/>
  <c r="C24" i="2"/>
  <c r="I28" i="67"/>
  <c r="M28" i="67"/>
  <c r="V28" i="67"/>
  <c r="G56" i="67"/>
  <c r="K56" i="67"/>
  <c r="S56" i="67"/>
  <c r="H56" i="67"/>
  <c r="L56" i="67"/>
  <c r="Q56" i="67" s="1"/>
  <c r="R56" i="67" s="1"/>
  <c r="T56" i="67"/>
  <c r="AB56" i="67"/>
  <c r="F26" i="87" s="1"/>
  <c r="AF52" i="67"/>
  <c r="V42" i="67"/>
  <c r="K42" i="67"/>
  <c r="F38" i="67"/>
  <c r="D34" i="2" s="1"/>
  <c r="J38" i="67"/>
  <c r="N38" i="67"/>
  <c r="E38" i="67"/>
  <c r="C34" i="2" s="1"/>
  <c r="I38" i="67"/>
  <c r="M38" i="67"/>
  <c r="K34" i="67"/>
  <c r="F34" i="67"/>
  <c r="D30" i="2"/>
  <c r="J34" i="67"/>
  <c r="N34" i="67"/>
  <c r="E30" i="67"/>
  <c r="C26" i="2"/>
  <c r="I30" i="67"/>
  <c r="M30" i="67"/>
  <c r="F30" i="67"/>
  <c r="D26" i="2" s="1"/>
  <c r="J30" i="67"/>
  <c r="N30" i="67"/>
  <c r="Q51" i="68"/>
  <c r="S38" i="67" s="1"/>
  <c r="Q58" i="68"/>
  <c r="R58" i="68" s="1"/>
  <c r="S58" i="68" s="1"/>
  <c r="Q47" i="68"/>
  <c r="AB28" i="67"/>
  <c r="F26" i="73" s="1"/>
  <c r="Q41" i="68"/>
  <c r="R41" i="68" s="1"/>
  <c r="R47" i="68"/>
  <c r="S47" i="68" s="1"/>
  <c r="U34" i="67" s="1"/>
  <c r="AF34" i="67" s="1"/>
  <c r="GQ26" i="71"/>
  <c r="I58" i="67"/>
  <c r="AF58" i="67"/>
  <c r="F58" i="67"/>
  <c r="D54" i="2" s="1"/>
  <c r="AF54" i="67"/>
  <c r="O57" i="68"/>
  <c r="P57" i="68" s="1"/>
  <c r="H73" i="68"/>
  <c r="G65" i="68"/>
  <c r="G50" i="4"/>
  <c r="G48" i="4"/>
  <c r="G46" i="4"/>
  <c r="G44" i="4"/>
  <c r="G42" i="4"/>
  <c r="G40" i="4"/>
  <c r="G38" i="4"/>
  <c r="G36" i="4"/>
  <c r="G34" i="4"/>
  <c r="G32" i="4"/>
  <c r="G30" i="4"/>
  <c r="G28" i="4"/>
  <c r="G26" i="4"/>
  <c r="G8" i="5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H53" i="4"/>
  <c r="G49" i="4"/>
  <c r="G47" i="4"/>
  <c r="G45" i="4"/>
  <c r="G43" i="4"/>
  <c r="G41" i="4"/>
  <c r="G39" i="4"/>
  <c r="G37" i="4"/>
  <c r="G35" i="4"/>
  <c r="G33" i="4"/>
  <c r="G31" i="4"/>
  <c r="G29" i="4"/>
  <c r="G27" i="4"/>
  <c r="G25" i="4"/>
  <c r="E24" i="2"/>
  <c r="I24" i="2"/>
  <c r="M24" i="2"/>
  <c r="L24" i="2"/>
  <c r="P49" i="68"/>
  <c r="U49" i="68" s="1"/>
  <c r="Q61" i="68"/>
  <c r="R61" i="68" s="1"/>
  <c r="T48" i="67" s="1"/>
  <c r="Q57" i="68"/>
  <c r="Q55" i="68"/>
  <c r="Q50" i="68"/>
  <c r="R50" i="68" s="1"/>
  <c r="S50" i="68" s="1"/>
  <c r="Q45" i="68"/>
  <c r="AB32" i="67"/>
  <c r="BB26" i="71" s="1"/>
  <c r="Q54" i="68"/>
  <c r="R54" i="68" s="1"/>
  <c r="S54" i="68" s="1"/>
  <c r="Q53" i="68"/>
  <c r="R53" i="68" s="1"/>
  <c r="S53" i="68" s="1"/>
  <c r="U40" i="67" s="1"/>
  <c r="AF40" i="67" s="1"/>
  <c r="AF62" i="67"/>
  <c r="R57" i="68"/>
  <c r="F26" i="75"/>
  <c r="AE54" i="67"/>
  <c r="AE58" i="67"/>
  <c r="O58" i="67"/>
  <c r="AE52" i="67"/>
  <c r="AE56" i="67"/>
  <c r="AE60" i="67"/>
  <c r="V46" i="67"/>
  <c r="C56" i="67"/>
  <c r="H69" i="68"/>
  <c r="C50" i="67"/>
  <c r="H63" i="68"/>
  <c r="E46" i="67"/>
  <c r="C42" i="2" s="1"/>
  <c r="K46" i="67"/>
  <c r="N46" i="67"/>
  <c r="M46" i="67"/>
  <c r="C44" i="67"/>
  <c r="H57" i="68"/>
  <c r="E40" i="67"/>
  <c r="C36" i="2" s="1"/>
  <c r="I40" i="67"/>
  <c r="M40" i="67"/>
  <c r="L40" i="67"/>
  <c r="Q40" i="67" s="1"/>
  <c r="R40" i="67" s="1"/>
  <c r="P40" i="67" s="1"/>
  <c r="V40" i="67"/>
  <c r="K36" i="67"/>
  <c r="J36" i="67"/>
  <c r="N36" i="67"/>
  <c r="W36" i="67" s="1"/>
  <c r="X36" i="67" s="1"/>
  <c r="C32" i="67"/>
  <c r="H45" i="68"/>
  <c r="H32" i="67" s="1"/>
  <c r="Q38" i="68"/>
  <c r="R38" i="68" s="1"/>
  <c r="S38" i="68" s="1"/>
  <c r="U38" i="68"/>
  <c r="G78" i="5"/>
  <c r="G74" i="5"/>
  <c r="G70" i="5"/>
  <c r="G66" i="5"/>
  <c r="G62" i="5"/>
  <c r="G58" i="5"/>
  <c r="G54" i="5"/>
  <c r="G50" i="5"/>
  <c r="G46" i="5"/>
  <c r="G42" i="5"/>
  <c r="G38" i="5"/>
  <c r="G34" i="5"/>
  <c r="G30" i="5"/>
  <c r="G26" i="5"/>
  <c r="G22" i="5"/>
  <c r="G18" i="5"/>
  <c r="G14" i="5"/>
  <c r="G10" i="5"/>
  <c r="F37" i="93"/>
  <c r="S40" i="67"/>
  <c r="P53" i="68"/>
  <c r="U53" i="68"/>
  <c r="AB40" i="67"/>
  <c r="Q46" i="68"/>
  <c r="R46" i="68" s="1"/>
  <c r="S46" i="68" s="1"/>
  <c r="AB42" i="67"/>
  <c r="G71" i="68"/>
  <c r="V52" i="67"/>
  <c r="T54" i="67"/>
  <c r="S54" i="67"/>
  <c r="J54" i="67"/>
  <c r="N58" i="67"/>
  <c r="G58" i="67"/>
  <c r="M58" i="67"/>
  <c r="S34" i="67"/>
  <c r="R51" i="68"/>
  <c r="Q44" i="68"/>
  <c r="R44" i="68" s="1"/>
  <c r="S44" i="68" s="1"/>
  <c r="AB34" i="67"/>
  <c r="Q56" i="68"/>
  <c r="R56" i="68" s="1"/>
  <c r="S56" i="68" s="1"/>
  <c r="AB38" i="67"/>
  <c r="L58" i="67"/>
  <c r="V30" i="67"/>
  <c r="V34" i="67"/>
  <c r="M34" i="67"/>
  <c r="I34" i="67"/>
  <c r="K38" i="67"/>
  <c r="V38" i="67"/>
  <c r="M42" i="67"/>
  <c r="I42" i="67"/>
  <c r="E42" i="67"/>
  <c r="C38" i="2" s="1"/>
  <c r="N42" i="67"/>
  <c r="J42" i="67"/>
  <c r="F42" i="67"/>
  <c r="D38" i="2" s="1"/>
  <c r="L50" i="67"/>
  <c r="Q50" i="67" s="1"/>
  <c r="R50" i="67" s="1"/>
  <c r="AB52" i="67"/>
  <c r="U52" i="67"/>
  <c r="E52" i="67"/>
  <c r="C48" i="2" s="1"/>
  <c r="AB58" i="67"/>
  <c r="HC26" i="71" s="1"/>
  <c r="I36" i="67"/>
  <c r="F40" i="67"/>
  <c r="D36" i="2" s="1"/>
  <c r="F46" i="67"/>
  <c r="D42" i="2" s="1"/>
  <c r="J46" i="67"/>
  <c r="O73" i="68"/>
  <c r="P73" i="68" s="1"/>
  <c r="U73" i="68" s="1"/>
  <c r="B60" i="67"/>
  <c r="G73" i="68"/>
  <c r="P72" i="68"/>
  <c r="U72" i="68" s="1"/>
  <c r="P58" i="67"/>
  <c r="P70" i="68"/>
  <c r="P67" i="68"/>
  <c r="U67" i="68" s="1"/>
  <c r="P60" i="68"/>
  <c r="U60" i="68" s="1"/>
  <c r="P56" i="68"/>
  <c r="U56" i="68" s="1"/>
  <c r="P54" i="68"/>
  <c r="U54" i="68" s="1"/>
  <c r="C34" i="67"/>
  <c r="H47" i="68"/>
  <c r="H34" i="67" s="1"/>
  <c r="P46" i="68"/>
  <c r="U46" i="68" s="1"/>
  <c r="F32" i="67"/>
  <c r="D28" i="2" s="1"/>
  <c r="J32" i="67"/>
  <c r="N32" i="67"/>
  <c r="K32" i="67"/>
  <c r="V32" i="67"/>
  <c r="P42" i="68"/>
  <c r="K28" i="67"/>
  <c r="F28" i="67"/>
  <c r="D24" i="2" s="1"/>
  <c r="J28" i="67"/>
  <c r="N28" i="67"/>
  <c r="B26" i="67"/>
  <c r="G39" i="68"/>
  <c r="G26" i="67" s="1"/>
  <c r="H82" i="5"/>
  <c r="G76" i="5"/>
  <c r="G72" i="5"/>
  <c r="G68" i="5"/>
  <c r="G64" i="5"/>
  <c r="G60" i="5"/>
  <c r="G56" i="5"/>
  <c r="G52" i="5"/>
  <c r="G48" i="5"/>
  <c r="G44" i="5"/>
  <c r="G40" i="5"/>
  <c r="G36" i="5"/>
  <c r="G32" i="5"/>
  <c r="G28" i="5"/>
  <c r="G24" i="5"/>
  <c r="G20" i="5"/>
  <c r="Q60" i="68"/>
  <c r="R60" i="68" s="1"/>
  <c r="S60" i="68" s="1"/>
  <c r="Q48" i="68"/>
  <c r="R48" i="68"/>
  <c r="S48" i="68" s="1"/>
  <c r="Q39" i="68"/>
  <c r="R39" i="68" s="1"/>
  <c r="U52" i="68"/>
  <c r="Q52" i="68"/>
  <c r="R52" i="68" s="1"/>
  <c r="S52" i="68" s="1"/>
  <c r="AB36" i="67"/>
  <c r="Q49" i="68"/>
  <c r="R49" i="68" s="1"/>
  <c r="F26" i="77"/>
  <c r="BZ26" i="71"/>
  <c r="AM62" i="71"/>
  <c r="AY62" i="71"/>
  <c r="FP62" i="71"/>
  <c r="DS62" i="71"/>
  <c r="ER62" i="71"/>
  <c r="GN62" i="71"/>
  <c r="BK62" i="71"/>
  <c r="DG62" i="71"/>
  <c r="BW62" i="71"/>
  <c r="H24" i="72"/>
  <c r="GB62" i="71"/>
  <c r="O62" i="71"/>
  <c r="HL62" i="71"/>
  <c r="EE62" i="71"/>
  <c r="C62" i="71"/>
  <c r="HX62" i="71"/>
  <c r="CU62" i="71"/>
  <c r="FD62" i="71"/>
  <c r="AA62" i="71"/>
  <c r="CI62" i="71"/>
  <c r="GZ62" i="71"/>
  <c r="G38" i="1" l="1"/>
  <c r="G56" i="1"/>
  <c r="G64" i="1"/>
  <c r="G75" i="1"/>
  <c r="G79" i="1"/>
  <c r="G83" i="1"/>
  <c r="G84" i="1"/>
  <c r="G81" i="5"/>
  <c r="H8" i="1"/>
  <c r="G8" i="1"/>
  <c r="G9" i="1"/>
  <c r="H10" i="1"/>
  <c r="G10" i="1"/>
  <c r="G11" i="1"/>
  <c r="H12" i="1"/>
  <c r="G12" i="1"/>
  <c r="G13" i="1"/>
  <c r="H14" i="1"/>
  <c r="G14" i="1"/>
  <c r="G15" i="1"/>
  <c r="H16" i="1"/>
  <c r="G16" i="1"/>
  <c r="G17" i="1"/>
  <c r="H18" i="1"/>
  <c r="G18" i="1"/>
  <c r="G19" i="1"/>
  <c r="H20" i="1"/>
  <c r="G20" i="1"/>
  <c r="G21" i="1"/>
  <c r="H22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42" i="1"/>
  <c r="G44" i="1"/>
  <c r="G48" i="1"/>
  <c r="G50" i="1"/>
  <c r="G67" i="1"/>
  <c r="G68" i="1"/>
  <c r="G72" i="1"/>
  <c r="G76" i="1"/>
  <c r="H18" i="4"/>
  <c r="H20" i="4"/>
  <c r="H85" i="5"/>
  <c r="H28" i="4"/>
  <c r="H32" i="4"/>
  <c r="H34" i="4"/>
  <c r="H36" i="4"/>
  <c r="H44" i="4"/>
  <c r="H48" i="4"/>
  <c r="H50" i="4"/>
  <c r="H56" i="4"/>
  <c r="H59" i="4"/>
  <c r="H63" i="4"/>
  <c r="H64" i="4"/>
  <c r="H67" i="4"/>
  <c r="H69" i="4"/>
  <c r="H73" i="4"/>
  <c r="H75" i="4"/>
  <c r="H77" i="4"/>
  <c r="H80" i="4"/>
  <c r="H84" i="4"/>
  <c r="H85" i="4"/>
  <c r="H9" i="5"/>
  <c r="H10" i="5"/>
  <c r="H14" i="5"/>
  <c r="H16" i="5"/>
  <c r="H17" i="5"/>
  <c r="H18" i="5"/>
  <c r="H22" i="5"/>
  <c r="H24" i="5"/>
  <c r="H25" i="5"/>
  <c r="H26" i="5"/>
  <c r="H30" i="5"/>
  <c r="H32" i="5"/>
  <c r="H33" i="5"/>
  <c r="H34" i="5"/>
  <c r="H38" i="5"/>
  <c r="H40" i="5"/>
  <c r="H41" i="5"/>
  <c r="H42" i="5"/>
  <c r="H46" i="5"/>
  <c r="H48" i="5"/>
  <c r="H49" i="5"/>
  <c r="H50" i="5"/>
  <c r="H54" i="5"/>
  <c r="H56" i="5"/>
  <c r="H57" i="5"/>
  <c r="H58" i="5"/>
  <c r="H62" i="5"/>
  <c r="H64" i="5"/>
  <c r="H65" i="5"/>
  <c r="H66" i="5"/>
  <c r="H70" i="5"/>
  <c r="H73" i="5"/>
  <c r="H74" i="5"/>
  <c r="H78" i="5"/>
  <c r="L41" i="68"/>
  <c r="L43" i="68"/>
  <c r="L45" i="68"/>
  <c r="L47" i="68"/>
  <c r="W40" i="67"/>
  <c r="X40" i="67" s="1"/>
  <c r="L51" i="68"/>
  <c r="L55" i="68"/>
  <c r="L59" i="68"/>
  <c r="G60" i="1"/>
  <c r="G71" i="1"/>
  <c r="H84" i="1"/>
  <c r="H85" i="1"/>
  <c r="H16" i="4"/>
  <c r="D8" i="4"/>
  <c r="C8" i="4"/>
  <c r="E8" i="4"/>
  <c r="G8" i="4" s="1"/>
  <c r="H8" i="4"/>
  <c r="G9" i="4"/>
  <c r="H9" i="4"/>
  <c r="H10" i="4"/>
  <c r="G10" i="4"/>
  <c r="H11" i="4"/>
  <c r="G11" i="4"/>
  <c r="G12" i="4"/>
  <c r="H12" i="4"/>
  <c r="H13" i="4"/>
  <c r="G13" i="4"/>
  <c r="G15" i="4"/>
  <c r="H15" i="4"/>
  <c r="H17" i="4"/>
  <c r="G17" i="4"/>
  <c r="H19" i="4"/>
  <c r="G19" i="4"/>
  <c r="H21" i="4"/>
  <c r="G21" i="4"/>
  <c r="H23" i="4"/>
  <c r="G23" i="4"/>
  <c r="G80" i="5"/>
  <c r="H80" i="5"/>
  <c r="G83" i="5"/>
  <c r="H83" i="5"/>
  <c r="G84" i="5"/>
  <c r="H84" i="5"/>
  <c r="T14" i="67"/>
  <c r="U14" i="67" s="1"/>
  <c r="AF14" i="67" s="1"/>
  <c r="AG14" i="67"/>
  <c r="T18" i="67"/>
  <c r="U18" i="67" s="1"/>
  <c r="AF18" i="67" s="1"/>
  <c r="AG18" i="67"/>
  <c r="M24" i="67"/>
  <c r="I24" i="67"/>
  <c r="S24" i="67"/>
  <c r="E24" i="67"/>
  <c r="C20" i="2" s="1"/>
  <c r="J24" i="67"/>
  <c r="N24" i="67"/>
  <c r="F24" i="67"/>
  <c r="D20" i="2" s="1"/>
  <c r="K24" i="67"/>
  <c r="AB24" i="67"/>
  <c r="F26" i="71" s="1"/>
  <c r="C24" i="67"/>
  <c r="H37" i="68"/>
  <c r="H24" i="67" s="1"/>
  <c r="U40" i="68"/>
  <c r="Q40" i="68"/>
  <c r="R40" i="68" s="1"/>
  <c r="S40" i="68" s="1"/>
  <c r="U42" i="68"/>
  <c r="Q42" i="68"/>
  <c r="R42" i="68" s="1"/>
  <c r="S42" i="68" s="1"/>
  <c r="AB30" i="67"/>
  <c r="Q43" i="68"/>
  <c r="T34" i="67"/>
  <c r="F26" i="82"/>
  <c r="EH26" i="71"/>
  <c r="FG26" i="71"/>
  <c r="F26" i="84"/>
  <c r="Q63" i="68"/>
  <c r="U63" i="68"/>
  <c r="U68" i="68"/>
  <c r="Q68" i="68"/>
  <c r="R68" i="68" s="1"/>
  <c r="S68" i="68" s="1"/>
  <c r="Q70" i="68"/>
  <c r="R70" i="68" s="1"/>
  <c r="S70" i="68" s="1"/>
  <c r="U70" i="68"/>
  <c r="K32" i="2"/>
  <c r="O32" i="2"/>
  <c r="L32" i="2"/>
  <c r="G32" i="2"/>
  <c r="I32" i="2"/>
  <c r="M32" i="2"/>
  <c r="N32" i="2"/>
  <c r="E32" i="2"/>
  <c r="F32" i="2"/>
  <c r="H32" i="2"/>
  <c r="J32" i="2"/>
  <c r="O36" i="67"/>
  <c r="P36" i="67"/>
  <c r="Y36" i="67" s="1"/>
  <c r="Z36" i="67" s="1"/>
  <c r="L28" i="2"/>
  <c r="H28" i="2"/>
  <c r="N28" i="2"/>
  <c r="J28" i="2"/>
  <c r="H24" i="2"/>
  <c r="F24" i="2"/>
  <c r="J24" i="2"/>
  <c r="F26" i="2"/>
  <c r="I26" i="2"/>
  <c r="L26" i="2"/>
  <c r="O26" i="2"/>
  <c r="G26" i="2"/>
  <c r="M26" i="2"/>
  <c r="J26" i="2"/>
  <c r="E26" i="2"/>
  <c r="H26" i="2"/>
  <c r="K26" i="2"/>
  <c r="N26" i="2"/>
  <c r="J42" i="2"/>
  <c r="H42" i="2"/>
  <c r="N42" i="2"/>
  <c r="I42" i="2"/>
  <c r="M42" i="2"/>
  <c r="G42" i="2"/>
  <c r="H36" i="2"/>
  <c r="E36" i="2"/>
  <c r="N36" i="2"/>
  <c r="F36" i="2"/>
  <c r="I36" i="2"/>
  <c r="O36" i="2"/>
  <c r="G36" i="2"/>
  <c r="M36" i="2"/>
  <c r="I19" i="93"/>
  <c r="H19" i="93"/>
  <c r="F26" i="79"/>
  <c r="CX26" i="71"/>
  <c r="DJ26" i="71"/>
  <c r="F26" i="80"/>
  <c r="F26" i="76"/>
  <c r="BN26" i="71"/>
  <c r="CL26" i="71"/>
  <c r="F26" i="78"/>
  <c r="H38" i="2"/>
  <c r="F38" i="2"/>
  <c r="O38" i="2"/>
  <c r="M38" i="2"/>
  <c r="K38" i="2"/>
  <c r="E38" i="2"/>
  <c r="G38" i="2"/>
  <c r="J38" i="2"/>
  <c r="N38" i="2"/>
  <c r="L38" i="2"/>
  <c r="I38" i="2"/>
  <c r="F26" i="85"/>
  <c r="FS26" i="71"/>
  <c r="N48" i="2"/>
  <c r="M48" i="2"/>
  <c r="J48" i="2"/>
  <c r="E48" i="2"/>
  <c r="H48" i="2"/>
  <c r="K48" i="2"/>
  <c r="G60" i="67"/>
  <c r="L60" i="67"/>
  <c r="Q60" i="67" s="1"/>
  <c r="R60" i="67" s="1"/>
  <c r="N60" i="67"/>
  <c r="T60" i="67"/>
  <c r="I60" i="67"/>
  <c r="O60" i="67"/>
  <c r="S60" i="67"/>
  <c r="F60" i="67"/>
  <c r="D56" i="2" s="1"/>
  <c r="K60" i="67"/>
  <c r="AB26" i="67"/>
  <c r="I26" i="67"/>
  <c r="V26" i="67"/>
  <c r="K26" i="67"/>
  <c r="N26" i="67"/>
  <c r="R59" i="68"/>
  <c r="R75" i="68"/>
  <c r="S75" i="68" s="1"/>
  <c r="F47" i="95"/>
  <c r="N13" i="95"/>
  <c r="N36" i="95" s="1"/>
  <c r="W39" i="95"/>
  <c r="N25" i="95" s="1"/>
  <c r="W38" i="95"/>
  <c r="N24" i="95" s="1"/>
  <c r="W40" i="95"/>
  <c r="N26" i="95" s="1"/>
  <c r="G19" i="96"/>
  <c r="H19" i="96"/>
  <c r="F19" i="96"/>
  <c r="I19" i="96"/>
  <c r="M10" i="96"/>
  <c r="F37" i="94"/>
  <c r="I19" i="94" s="1"/>
  <c r="T26" i="67"/>
  <c r="S39" i="68"/>
  <c r="U26" i="67" s="1"/>
  <c r="AF26" i="67" s="1"/>
  <c r="I30" i="93"/>
  <c r="I20" i="93"/>
  <c r="I22" i="93" s="1"/>
  <c r="F26" i="88"/>
  <c r="M26" i="67"/>
  <c r="J26" i="67"/>
  <c r="E26" i="67"/>
  <c r="C22" i="2" s="1"/>
  <c r="F26" i="67"/>
  <c r="D22" i="2" s="1"/>
  <c r="Z60" i="67"/>
  <c r="H60" i="67"/>
  <c r="AB60" i="67"/>
  <c r="V60" i="67"/>
  <c r="U60" i="67"/>
  <c r="J60" i="67"/>
  <c r="P60" i="67"/>
  <c r="M60" i="67"/>
  <c r="E60" i="67"/>
  <c r="C56" i="2" s="1"/>
  <c r="F52" i="67"/>
  <c r="D48" i="2" s="1"/>
  <c r="I52" i="67"/>
  <c r="T40" i="67"/>
  <c r="O40" i="67"/>
  <c r="J36" i="2"/>
  <c r="K36" i="2"/>
  <c r="L36" i="2"/>
  <c r="R45" i="68"/>
  <c r="S32" i="67"/>
  <c r="O75" i="68"/>
  <c r="P75" i="68" s="1"/>
  <c r="U75" i="68" s="1"/>
  <c r="O71" i="68"/>
  <c r="P71" i="68"/>
  <c r="U71" i="68" s="1"/>
  <c r="T58" i="67"/>
  <c r="J58" i="67"/>
  <c r="H58" i="67"/>
  <c r="K58" i="67"/>
  <c r="U58" i="67"/>
  <c r="Z58" i="67"/>
  <c r="V58" i="67"/>
  <c r="S58" i="67"/>
  <c r="E58" i="67"/>
  <c r="C54" i="2" s="1"/>
  <c r="S26" i="67"/>
  <c r="O65" i="68"/>
  <c r="P65" i="68"/>
  <c r="U65" i="68" s="1"/>
  <c r="O52" i="67"/>
  <c r="T52" i="67"/>
  <c r="J52" i="67"/>
  <c r="K52" i="67"/>
  <c r="P52" i="67"/>
  <c r="H52" i="67"/>
  <c r="G52" i="67"/>
  <c r="L52" i="67"/>
  <c r="Q52" i="67" s="1"/>
  <c r="R52" i="67" s="1"/>
  <c r="M52" i="67"/>
  <c r="S52" i="67"/>
  <c r="N52" i="67"/>
  <c r="S36" i="67"/>
  <c r="AE36" i="67" s="1"/>
  <c r="F48" i="2"/>
  <c r="L48" i="2"/>
  <c r="G48" i="2"/>
  <c r="I48" i="2"/>
  <c r="O48" i="2"/>
  <c r="Q58" i="67"/>
  <c r="R58" i="67" s="1"/>
  <c r="W58" i="67"/>
  <c r="X58" i="67" s="1"/>
  <c r="Y58" i="67" s="1"/>
  <c r="F19" i="93"/>
  <c r="G19" i="93"/>
  <c r="K42" i="2"/>
  <c r="L42" i="2"/>
  <c r="O42" i="2"/>
  <c r="F42" i="2"/>
  <c r="E42" i="2"/>
  <c r="S37" i="68"/>
  <c r="U24" i="67" s="1"/>
  <c r="AF24" i="67" s="1"/>
  <c r="T24" i="67"/>
  <c r="R55" i="68"/>
  <c r="S42" i="67"/>
  <c r="Q62" i="68"/>
  <c r="R62" i="68" s="1"/>
  <c r="S62" i="68" s="1"/>
  <c r="U62" i="68"/>
  <c r="M20" i="2"/>
  <c r="I20" i="2"/>
  <c r="G24" i="2"/>
  <c r="O24" i="2"/>
  <c r="G67" i="68"/>
  <c r="S28" i="67"/>
  <c r="AD26" i="71"/>
  <c r="V56" i="67"/>
  <c r="N56" i="67"/>
  <c r="F56" i="67"/>
  <c r="D52" i="2" s="1"/>
  <c r="I56" i="67"/>
  <c r="U56" i="67"/>
  <c r="L61" i="68"/>
  <c r="G61" i="68"/>
  <c r="G48" i="67" s="1"/>
  <c r="G59" i="68"/>
  <c r="G46" i="67" s="1"/>
  <c r="C42" i="67"/>
  <c r="H26" i="67"/>
  <c r="K20" i="2"/>
  <c r="O20" i="2"/>
  <c r="N24" i="2"/>
  <c r="K24" i="2"/>
  <c r="H75" i="68"/>
  <c r="Z56" i="67"/>
  <c r="P56" i="67"/>
  <c r="J56" i="67"/>
  <c r="M56" i="67"/>
  <c r="E56" i="67"/>
  <c r="C52" i="2" s="1"/>
  <c r="H59" i="68"/>
  <c r="H46" i="67" s="1"/>
  <c r="G75" i="68"/>
  <c r="Q73" i="68"/>
  <c r="R73" i="68" s="1"/>
  <c r="S73" i="68" s="1"/>
  <c r="H71" i="68"/>
  <c r="L69" i="68"/>
  <c r="O69" i="68" s="1"/>
  <c r="U66" i="68"/>
  <c r="H65" i="68"/>
  <c r="H51" i="68"/>
  <c r="H38" i="67" s="1"/>
  <c r="C38" i="67"/>
  <c r="G49" i="68"/>
  <c r="G36" i="67" s="1"/>
  <c r="W56" i="67"/>
  <c r="X56" i="67" s="1"/>
  <c r="H61" i="68"/>
  <c r="H48" i="67" s="1"/>
  <c r="C30" i="67"/>
  <c r="G41" i="68"/>
  <c r="G28" i="67" s="1"/>
  <c r="L39" i="68"/>
  <c r="C26" i="67"/>
  <c r="L37" i="68"/>
  <c r="L24" i="67" s="1"/>
  <c r="H75" i="5"/>
  <c r="H67" i="5"/>
  <c r="H59" i="5"/>
  <c r="H51" i="5"/>
  <c r="H43" i="5"/>
  <c r="H35" i="5"/>
  <c r="H27" i="5"/>
  <c r="H19" i="5"/>
  <c r="H11" i="5"/>
  <c r="H76" i="4"/>
  <c r="H65" i="4"/>
  <c r="H55" i="4"/>
  <c r="H52" i="4"/>
  <c r="H51" i="4"/>
  <c r="H38" i="4"/>
  <c r="H22" i="4"/>
  <c r="G85" i="1"/>
  <c r="H82" i="1"/>
  <c r="G81" i="1"/>
  <c r="H78" i="1"/>
  <c r="G77" i="1"/>
  <c r="H74" i="1"/>
  <c r="G73" i="1"/>
  <c r="H70" i="1"/>
  <c r="G69" i="1"/>
  <c r="H66" i="1"/>
  <c r="H64" i="1"/>
  <c r="H62" i="1"/>
  <c r="H60" i="1"/>
  <c r="H58" i="1"/>
  <c r="H56" i="1"/>
  <c r="H54" i="1"/>
  <c r="H52" i="1"/>
  <c r="H50" i="1"/>
  <c r="H48" i="1"/>
  <c r="H46" i="1"/>
  <c r="H44" i="1"/>
  <c r="H42" i="1"/>
  <c r="H40" i="1"/>
  <c r="H38" i="1"/>
  <c r="H36" i="1"/>
  <c r="H34" i="1"/>
  <c r="H32" i="1"/>
  <c r="H30" i="1"/>
  <c r="H28" i="1"/>
  <c r="H26" i="1"/>
  <c r="H24" i="1"/>
  <c r="L28" i="67"/>
  <c r="Q28" i="67" s="1"/>
  <c r="G79" i="5"/>
  <c r="H71" i="5"/>
  <c r="H63" i="5"/>
  <c r="H55" i="5"/>
  <c r="H47" i="5"/>
  <c r="H39" i="5"/>
  <c r="H31" i="5"/>
  <c r="H23" i="5"/>
  <c r="H15" i="5"/>
  <c r="H81" i="4"/>
  <c r="H71" i="4"/>
  <c r="H60" i="4"/>
  <c r="H46" i="4"/>
  <c r="H30" i="4"/>
  <c r="H14" i="4"/>
  <c r="H80" i="1"/>
  <c r="H76" i="1"/>
  <c r="H72" i="1"/>
  <c r="H68" i="1"/>
  <c r="G37" i="68"/>
  <c r="G24" i="67" s="1"/>
  <c r="H77" i="5"/>
  <c r="H69" i="5"/>
  <c r="H61" i="5"/>
  <c r="H53" i="5"/>
  <c r="H45" i="5"/>
  <c r="H37" i="5"/>
  <c r="H29" i="5"/>
  <c r="H21" i="5"/>
  <c r="H13" i="5"/>
  <c r="H79" i="4"/>
  <c r="H68" i="4"/>
  <c r="H57" i="4"/>
  <c r="H42" i="4"/>
  <c r="H26" i="4"/>
  <c r="G65" i="1"/>
  <c r="H65" i="1"/>
  <c r="G63" i="1"/>
  <c r="H63" i="1"/>
  <c r="G61" i="1"/>
  <c r="H61" i="1"/>
  <c r="G59" i="1"/>
  <c r="H59" i="1"/>
  <c r="G57" i="1"/>
  <c r="H57" i="1"/>
  <c r="G55" i="1"/>
  <c r="H55" i="1"/>
  <c r="G53" i="1"/>
  <c r="H53" i="1"/>
  <c r="G51" i="1"/>
  <c r="H51" i="1"/>
  <c r="G49" i="1"/>
  <c r="H49" i="1"/>
  <c r="G47" i="1"/>
  <c r="H47" i="1"/>
  <c r="G45" i="1"/>
  <c r="H45" i="1"/>
  <c r="G43" i="1"/>
  <c r="H43" i="1"/>
  <c r="G41" i="1"/>
  <c r="H41" i="1"/>
  <c r="G39" i="1"/>
  <c r="H39" i="1"/>
  <c r="H37" i="1"/>
  <c r="H35" i="1"/>
  <c r="H33" i="1"/>
  <c r="H31" i="1"/>
  <c r="H29" i="1"/>
  <c r="H27" i="1"/>
  <c r="H25" i="1"/>
  <c r="H23" i="1"/>
  <c r="H21" i="1"/>
  <c r="H19" i="1"/>
  <c r="H17" i="1"/>
  <c r="N10" i="92"/>
  <c r="F37" i="92"/>
  <c r="F19" i="92" s="1"/>
  <c r="M21" i="92"/>
  <c r="N21" i="92" s="1"/>
  <c r="M23" i="92"/>
  <c r="N23" i="92" s="1"/>
  <c r="M22" i="92"/>
  <c r="N22" i="92" s="1"/>
  <c r="M24" i="92"/>
  <c r="N24" i="92" s="1"/>
  <c r="T36" i="67"/>
  <c r="S49" i="68"/>
  <c r="U36" i="67" s="1"/>
  <c r="AF36" i="67" s="1"/>
  <c r="Y40" i="67"/>
  <c r="Z40" i="67" s="1"/>
  <c r="AE40" i="67"/>
  <c r="O56" i="2"/>
  <c r="L56" i="2"/>
  <c r="H56" i="2"/>
  <c r="F56" i="2"/>
  <c r="I56" i="2"/>
  <c r="M56" i="2"/>
  <c r="G56" i="2"/>
  <c r="N56" i="2"/>
  <c r="J56" i="2"/>
  <c r="E56" i="2"/>
  <c r="K56" i="2"/>
  <c r="I22" i="2"/>
  <c r="L22" i="2"/>
  <c r="F22" i="2"/>
  <c r="J22" i="2"/>
  <c r="G22" i="2"/>
  <c r="O22" i="2"/>
  <c r="M22" i="2"/>
  <c r="E22" i="2"/>
  <c r="H22" i="2"/>
  <c r="N22" i="2"/>
  <c r="K22" i="2"/>
  <c r="O34" i="2"/>
  <c r="J34" i="2"/>
  <c r="E34" i="2"/>
  <c r="K34" i="2"/>
  <c r="F34" i="2"/>
  <c r="L34" i="2"/>
  <c r="G34" i="2"/>
  <c r="M34" i="2"/>
  <c r="H34" i="2"/>
  <c r="N34" i="2"/>
  <c r="I34" i="2"/>
  <c r="F28" i="2"/>
  <c r="M28" i="2"/>
  <c r="I28" i="2"/>
  <c r="E28" i="2"/>
  <c r="O28" i="2"/>
  <c r="K28" i="2"/>
  <c r="G28" i="2"/>
  <c r="U64" i="68"/>
  <c r="Q64" i="68"/>
  <c r="R64" i="68" s="1"/>
  <c r="S64" i="68" s="1"/>
  <c r="F50" i="67"/>
  <c r="D46" i="2" s="1"/>
  <c r="J50" i="67"/>
  <c r="E50" i="67"/>
  <c r="C46" i="2" s="1"/>
  <c r="I50" i="67"/>
  <c r="M50" i="67"/>
  <c r="V50" i="67"/>
  <c r="N50" i="67"/>
  <c r="K50" i="67"/>
  <c r="H50" i="67"/>
  <c r="O61" i="68"/>
  <c r="K48" i="67"/>
  <c r="N48" i="67"/>
  <c r="M48" i="67"/>
  <c r="AB48" i="67"/>
  <c r="E48" i="67"/>
  <c r="C44" i="2" s="1"/>
  <c r="I48" i="67"/>
  <c r="F48" i="67"/>
  <c r="D44" i="2" s="1"/>
  <c r="J48" i="67"/>
  <c r="V48" i="67"/>
  <c r="S48" i="67"/>
  <c r="P62" i="67"/>
  <c r="N62" i="67"/>
  <c r="S62" i="67"/>
  <c r="H62" i="67"/>
  <c r="V62" i="67"/>
  <c r="G62" i="67"/>
  <c r="I62" i="67"/>
  <c r="AB62" i="67"/>
  <c r="T62" i="67"/>
  <c r="J62" i="67"/>
  <c r="M62" i="67"/>
  <c r="Z62" i="67"/>
  <c r="F62" i="67"/>
  <c r="D58" i="2" s="1"/>
  <c r="K62" i="67"/>
  <c r="L62" i="67"/>
  <c r="E62" i="67"/>
  <c r="C58" i="2" s="1"/>
  <c r="U62" i="67"/>
  <c r="O62" i="67"/>
  <c r="U74" i="68"/>
  <c r="Q74" i="68"/>
  <c r="R74" i="68" s="1"/>
  <c r="S74" i="68" s="1"/>
  <c r="P54" i="67"/>
  <c r="V54" i="67"/>
  <c r="F54" i="67"/>
  <c r="D50" i="2" s="1"/>
  <c r="H54" i="67"/>
  <c r="AB54" i="67"/>
  <c r="E54" i="67"/>
  <c r="C50" i="2" s="1"/>
  <c r="G54" i="67"/>
  <c r="Z54" i="67"/>
  <c r="M54" i="67"/>
  <c r="N54" i="67"/>
  <c r="U54" i="67"/>
  <c r="O54" i="67"/>
  <c r="K54" i="67"/>
  <c r="L54" i="67"/>
  <c r="I54" i="67"/>
  <c r="B44" i="67"/>
  <c r="G57" i="68"/>
  <c r="L38" i="67"/>
  <c r="E34" i="67"/>
  <c r="C30" i="2" s="1"/>
  <c r="V24" i="67"/>
  <c r="S67" i="68"/>
  <c r="G63" i="68"/>
  <c r="G50" i="67" s="1"/>
  <c r="K30" i="67"/>
  <c r="H30" i="67"/>
  <c r="U57" i="68"/>
  <c r="G51" i="68"/>
  <c r="G38" i="67" s="1"/>
  <c r="G47" i="68"/>
  <c r="G34" i="67" s="1"/>
  <c r="G45" i="68"/>
  <c r="G32" i="67" s="1"/>
  <c r="G43" i="68"/>
  <c r="G30" i="67" s="1"/>
  <c r="G52" i="4"/>
  <c r="G51" i="4"/>
  <c r="F50" i="95" l="1"/>
  <c r="B11" i="98" s="1"/>
  <c r="B12" i="98" s="1"/>
  <c r="N11" i="95"/>
  <c r="O41" i="68"/>
  <c r="P41" i="68" s="1"/>
  <c r="U41" i="68" s="1"/>
  <c r="L30" i="67"/>
  <c r="O43" i="68"/>
  <c r="P43" i="68" s="1"/>
  <c r="U43" i="68" s="1"/>
  <c r="L32" i="67"/>
  <c r="O45" i="68"/>
  <c r="P45" i="68" s="1"/>
  <c r="U45" i="68" s="1"/>
  <c r="L34" i="67"/>
  <c r="O47" i="68"/>
  <c r="O51" i="68"/>
  <c r="P51" i="68"/>
  <c r="U51" i="68" s="1"/>
  <c r="L42" i="67"/>
  <c r="O55" i="68"/>
  <c r="P55" i="68" s="1"/>
  <c r="U55" i="68" s="1"/>
  <c r="H20" i="2"/>
  <c r="E20" i="2"/>
  <c r="J20" i="2"/>
  <c r="F20" i="2"/>
  <c r="L20" i="2"/>
  <c r="G20" i="2"/>
  <c r="N20" i="2"/>
  <c r="F26" i="74"/>
  <c r="AP26" i="71"/>
  <c r="S50" i="67"/>
  <c r="R63" i="68"/>
  <c r="F26" i="72"/>
  <c r="R26" i="71"/>
  <c r="W60" i="67"/>
  <c r="X60" i="67" s="1"/>
  <c r="Y60" i="67" s="1"/>
  <c r="P61" i="68"/>
  <c r="U61" i="68" s="1"/>
  <c r="O59" i="68"/>
  <c r="P59" i="68" s="1"/>
  <c r="U59" i="68" s="1"/>
  <c r="L46" i="67"/>
  <c r="R43" i="68"/>
  <c r="S30" i="67"/>
  <c r="I29" i="93"/>
  <c r="I28" i="93"/>
  <c r="I31" i="93" s="1"/>
  <c r="I21" i="93" s="1"/>
  <c r="H20" i="93"/>
  <c r="H22" i="93" s="1"/>
  <c r="H29" i="93"/>
  <c r="H30" i="93"/>
  <c r="H28" i="93"/>
  <c r="H31" i="93" s="1"/>
  <c r="H21" i="93" s="1"/>
  <c r="S59" i="68"/>
  <c r="U46" i="67" s="1"/>
  <c r="AF46" i="67" s="1"/>
  <c r="T46" i="67"/>
  <c r="M52" i="2"/>
  <c r="H52" i="2"/>
  <c r="J52" i="2"/>
  <c r="L52" i="2"/>
  <c r="F52" i="2"/>
  <c r="K52" i="2"/>
  <c r="E52" i="2"/>
  <c r="N52" i="2"/>
  <c r="O52" i="2"/>
  <c r="I30" i="96"/>
  <c r="I29" i="96"/>
  <c r="I28" i="96"/>
  <c r="I20" i="96"/>
  <c r="I22" i="96" s="1"/>
  <c r="F30" i="96"/>
  <c r="F29" i="96"/>
  <c r="F28" i="96"/>
  <c r="F20" i="96"/>
  <c r="F22" i="96" s="1"/>
  <c r="H30" i="96"/>
  <c r="H29" i="96"/>
  <c r="H28" i="96"/>
  <c r="H20" i="96"/>
  <c r="H22" i="96" s="1"/>
  <c r="N19" i="96"/>
  <c r="N17" i="96"/>
  <c r="N16" i="96"/>
  <c r="N15" i="96"/>
  <c r="N14" i="96"/>
  <c r="G29" i="96"/>
  <c r="G30" i="96"/>
  <c r="G28" i="96"/>
  <c r="G20" i="96"/>
  <c r="G22" i="96" s="1"/>
  <c r="M10" i="94"/>
  <c r="H19" i="94"/>
  <c r="H29" i="94" s="1"/>
  <c r="G19" i="94"/>
  <c r="G30" i="94" s="1"/>
  <c r="F19" i="94"/>
  <c r="F30" i="94" s="1"/>
  <c r="N15" i="94"/>
  <c r="I30" i="94"/>
  <c r="I29" i="94"/>
  <c r="I28" i="94"/>
  <c r="I20" i="94"/>
  <c r="I22" i="94" s="1"/>
  <c r="O39" i="68"/>
  <c r="O26" i="67" s="1"/>
  <c r="P69" i="68"/>
  <c r="U69" i="68" s="1"/>
  <c r="L48" i="67"/>
  <c r="W52" i="67"/>
  <c r="X52" i="67" s="1"/>
  <c r="Y52" i="67" s="1"/>
  <c r="S45" i="68"/>
  <c r="U32" i="67" s="1"/>
  <c r="AF32" i="67" s="1"/>
  <c r="T32" i="67"/>
  <c r="L26" i="67"/>
  <c r="Q24" i="67"/>
  <c r="W24" i="67"/>
  <c r="X24" i="67" s="1"/>
  <c r="Y56" i="67"/>
  <c r="T42" i="67"/>
  <c r="S55" i="68"/>
  <c r="U42" i="67" s="1"/>
  <c r="AF42" i="67" s="1"/>
  <c r="G28" i="93"/>
  <c r="G20" i="93"/>
  <c r="G22" i="93" s="1"/>
  <c r="G29" i="93"/>
  <c r="G30" i="93"/>
  <c r="G31" i="93" s="1"/>
  <c r="G21" i="93" s="1"/>
  <c r="O28" i="67"/>
  <c r="R28" i="67"/>
  <c r="P28" i="67" s="1"/>
  <c r="O37" i="68"/>
  <c r="P37" i="68" s="1"/>
  <c r="U37" i="68" s="1"/>
  <c r="I52" i="2"/>
  <c r="G52" i="2"/>
  <c r="W28" i="67"/>
  <c r="X28" i="67" s="1"/>
  <c r="F28" i="93"/>
  <c r="F20" i="93"/>
  <c r="F22" i="93" s="1"/>
  <c r="F29" i="93"/>
  <c r="F30" i="93"/>
  <c r="G54" i="2"/>
  <c r="M54" i="2"/>
  <c r="H54" i="2"/>
  <c r="J54" i="2"/>
  <c r="E54" i="2"/>
  <c r="F54" i="2"/>
  <c r="I54" i="2"/>
  <c r="K54" i="2"/>
  <c r="L54" i="2"/>
  <c r="N54" i="2"/>
  <c r="O54" i="2"/>
  <c r="F26" i="89"/>
  <c r="HO26" i="71"/>
  <c r="I19" i="92"/>
  <c r="I20" i="92" s="1"/>
  <c r="I22" i="92" s="1"/>
  <c r="M10" i="92"/>
  <c r="H19" i="92"/>
  <c r="G19" i="92"/>
  <c r="G30" i="92" s="1"/>
  <c r="W38" i="67"/>
  <c r="X38" i="67" s="1"/>
  <c r="Q38" i="67"/>
  <c r="L44" i="67"/>
  <c r="E44" i="67"/>
  <c r="C40" i="2" s="1"/>
  <c r="M44" i="67"/>
  <c r="V44" i="67"/>
  <c r="S44" i="67"/>
  <c r="T44" i="67"/>
  <c r="G44" i="67"/>
  <c r="K44" i="67"/>
  <c r="N44" i="67"/>
  <c r="I44" i="67"/>
  <c r="F44" i="67"/>
  <c r="D40" i="2" s="1"/>
  <c r="J44" i="67"/>
  <c r="H44" i="67"/>
  <c r="U44" i="67"/>
  <c r="AF44" i="67" s="1"/>
  <c r="AB44" i="67"/>
  <c r="Q54" i="67"/>
  <c r="R54" i="67" s="1"/>
  <c r="W54" i="67"/>
  <c r="X54" i="67" s="1"/>
  <c r="Y54" i="67" s="1"/>
  <c r="F50" i="2"/>
  <c r="I50" i="2"/>
  <c r="L50" i="2"/>
  <c r="O50" i="2"/>
  <c r="G50" i="2"/>
  <c r="J50" i="2"/>
  <c r="M50" i="2"/>
  <c r="E50" i="2"/>
  <c r="H50" i="2"/>
  <c r="K50" i="2"/>
  <c r="N50" i="2"/>
  <c r="I58" i="2"/>
  <c r="J58" i="2"/>
  <c r="E58" i="2"/>
  <c r="F58" i="2"/>
  <c r="O58" i="2"/>
  <c r="L58" i="2"/>
  <c r="H58" i="2"/>
  <c r="N58" i="2"/>
  <c r="M58" i="2"/>
  <c r="G58" i="2"/>
  <c r="K58" i="2"/>
  <c r="IA26" i="71"/>
  <c r="F26" i="90"/>
  <c r="EU26" i="71"/>
  <c r="F26" i="83"/>
  <c r="O50" i="67"/>
  <c r="P50" i="67"/>
  <c r="K30" i="2"/>
  <c r="F30" i="2"/>
  <c r="L30" i="2"/>
  <c r="G30" i="2"/>
  <c r="M30" i="2"/>
  <c r="H30" i="2"/>
  <c r="N30" i="2"/>
  <c r="I30" i="2"/>
  <c r="O30" i="2"/>
  <c r="J30" i="2"/>
  <c r="E30" i="2"/>
  <c r="F28" i="92"/>
  <c r="F20" i="92"/>
  <c r="F22" i="92" s="1"/>
  <c r="F29" i="92"/>
  <c r="F30" i="92"/>
  <c r="F26" i="86"/>
  <c r="GE26" i="71"/>
  <c r="W62" i="67"/>
  <c r="X62" i="67" s="1"/>
  <c r="Y62" i="67" s="1"/>
  <c r="Q62" i="67"/>
  <c r="R62" i="67" s="1"/>
  <c r="J44" i="2"/>
  <c r="E44" i="2"/>
  <c r="O44" i="2"/>
  <c r="F44" i="2"/>
  <c r="L44" i="2"/>
  <c r="K44" i="2"/>
  <c r="M44" i="2"/>
  <c r="G44" i="2"/>
  <c r="H44" i="2"/>
  <c r="I44" i="2"/>
  <c r="N44" i="2"/>
  <c r="K46" i="2"/>
  <c r="N46" i="2"/>
  <c r="F46" i="2"/>
  <c r="I46" i="2"/>
  <c r="L46" i="2"/>
  <c r="O46" i="2"/>
  <c r="G46" i="2"/>
  <c r="J46" i="2"/>
  <c r="M46" i="2"/>
  <c r="E46" i="2"/>
  <c r="H46" i="2"/>
  <c r="W50" i="67"/>
  <c r="X50" i="67" s="1"/>
  <c r="C11" i="98" l="1"/>
  <c r="E11" i="98"/>
  <c r="D11" i="98"/>
  <c r="M11" i="95"/>
  <c r="W30" i="67"/>
  <c r="X30" i="67" s="1"/>
  <c r="Q30" i="67"/>
  <c r="W32" i="67"/>
  <c r="X32" i="67" s="1"/>
  <c r="Q32" i="67"/>
  <c r="Q34" i="67"/>
  <c r="R34" i="67" s="1"/>
  <c r="W34" i="67"/>
  <c r="X34" i="67" s="1"/>
  <c r="W42" i="67"/>
  <c r="X42" i="67" s="1"/>
  <c r="Q42" i="67"/>
  <c r="S63" i="68"/>
  <c r="U50" i="67" s="1"/>
  <c r="AF50" i="67" s="1"/>
  <c r="T50" i="67"/>
  <c r="W46" i="67"/>
  <c r="X46" i="67" s="1"/>
  <c r="Q46" i="67"/>
  <c r="T30" i="67"/>
  <c r="S43" i="68"/>
  <c r="U30" i="67" s="1"/>
  <c r="AF30" i="67" s="1"/>
  <c r="O34" i="67"/>
  <c r="P47" i="68"/>
  <c r="W48" i="67"/>
  <c r="X48" i="67" s="1"/>
  <c r="Q48" i="67"/>
  <c r="R24" i="67"/>
  <c r="P24" i="67" s="1"/>
  <c r="O24" i="67"/>
  <c r="H31" i="96"/>
  <c r="H21" i="96" s="1"/>
  <c r="F31" i="96"/>
  <c r="F21" i="96" s="1"/>
  <c r="G31" i="96"/>
  <c r="G21" i="96" s="1"/>
  <c r="I31" i="96"/>
  <c r="I21" i="96" s="1"/>
  <c r="N16" i="94"/>
  <c r="N19" i="94"/>
  <c r="H30" i="94"/>
  <c r="H20" i="94"/>
  <c r="H22" i="94" s="1"/>
  <c r="H28" i="94"/>
  <c r="H31" i="94" s="1"/>
  <c r="H21" i="94" s="1"/>
  <c r="G20" i="94"/>
  <c r="G22" i="94" s="1"/>
  <c r="N17" i="94"/>
  <c r="N14" i="94"/>
  <c r="F20" i="94"/>
  <c r="F22" i="94" s="1"/>
  <c r="F28" i="94"/>
  <c r="G28" i="94"/>
  <c r="F29" i="94"/>
  <c r="G29" i="94"/>
  <c r="I31" i="94"/>
  <c r="I21" i="94" s="1"/>
  <c r="W26" i="67"/>
  <c r="X26" i="67" s="1"/>
  <c r="Q26" i="67"/>
  <c r="R26" i="67" s="1"/>
  <c r="F31" i="93"/>
  <c r="F21" i="93" s="1"/>
  <c r="P39" i="68"/>
  <c r="Y28" i="67"/>
  <c r="Z28" i="67" s="1"/>
  <c r="AE28" i="67"/>
  <c r="G29" i="92"/>
  <c r="I28" i="92"/>
  <c r="N15" i="92"/>
  <c r="N14" i="92"/>
  <c r="N16" i="92"/>
  <c r="N17" i="92"/>
  <c r="I30" i="92"/>
  <c r="I29" i="92"/>
  <c r="G28" i="92"/>
  <c r="G31" i="92" s="1"/>
  <c r="G21" i="92" s="1"/>
  <c r="H20" i="92"/>
  <c r="H22" i="92" s="1"/>
  <c r="H28" i="92"/>
  <c r="H30" i="92"/>
  <c r="H29" i="92"/>
  <c r="G20" i="92"/>
  <c r="G22" i="92" s="1"/>
  <c r="M40" i="2"/>
  <c r="K40" i="2"/>
  <c r="N40" i="2"/>
  <c r="F40" i="2"/>
  <c r="G40" i="2"/>
  <c r="J40" i="2"/>
  <c r="H40" i="2"/>
  <c r="E40" i="2"/>
  <c r="O40" i="2"/>
  <c r="I40" i="2"/>
  <c r="L40" i="2"/>
  <c r="R38" i="67"/>
  <c r="P38" i="67" s="1"/>
  <c r="O38" i="67"/>
  <c r="F31" i="92"/>
  <c r="F21" i="92" s="1"/>
  <c r="Y50" i="67"/>
  <c r="Z50" i="67" s="1"/>
  <c r="AE50" i="67"/>
  <c r="F26" i="81"/>
  <c r="DV26" i="71"/>
  <c r="W44" i="67"/>
  <c r="X44" i="67" s="1"/>
  <c r="Q44" i="67"/>
  <c r="R44" i="67" s="1"/>
  <c r="P44" i="67" s="1"/>
  <c r="Y24" i="67"/>
  <c r="Z24" i="67" s="1"/>
  <c r="AE24" i="67"/>
  <c r="C12" i="98" l="1"/>
  <c r="E12" i="98"/>
  <c r="D12" i="98"/>
  <c r="I38" i="95"/>
  <c r="I40" i="95"/>
  <c r="G38" i="95"/>
  <c r="G40" i="95"/>
  <c r="I39" i="95"/>
  <c r="I37" i="95"/>
  <c r="G37" i="95"/>
  <c r="G39" i="95"/>
  <c r="F37" i="95"/>
  <c r="F39" i="95"/>
  <c r="M15" i="95"/>
  <c r="N15" i="95" s="1"/>
  <c r="M23" i="95"/>
  <c r="F40" i="95"/>
  <c r="F38" i="95"/>
  <c r="N17" i="95"/>
  <c r="N16" i="95"/>
  <c r="N18" i="95"/>
  <c r="N21" i="95"/>
  <c r="H39" i="95"/>
  <c r="H37" i="95"/>
  <c r="H40" i="95"/>
  <c r="H38" i="95"/>
  <c r="O30" i="67"/>
  <c r="R30" i="67"/>
  <c r="P30" i="67" s="1"/>
  <c r="O32" i="67"/>
  <c r="R32" i="67"/>
  <c r="P32" i="67" s="1"/>
  <c r="O42" i="67"/>
  <c r="R42" i="67"/>
  <c r="P42" i="67" s="1"/>
  <c r="O46" i="67"/>
  <c r="R46" i="67"/>
  <c r="P46" i="67" s="1"/>
  <c r="U47" i="68"/>
  <c r="P34" i="67"/>
  <c r="O48" i="67"/>
  <c r="R48" i="67"/>
  <c r="P48" i="67" s="1"/>
  <c r="T19" i="95"/>
  <c r="U19" i="95"/>
  <c r="V19" i="95" s="1"/>
  <c r="F31" i="94"/>
  <c r="F21" i="94" s="1"/>
  <c r="G31" i="94"/>
  <c r="G21" i="94" s="1"/>
  <c r="U39" i="68"/>
  <c r="P26" i="67"/>
  <c r="I31" i="92"/>
  <c r="I21" i="92" s="1"/>
  <c r="H31" i="92"/>
  <c r="H21" i="92" s="1"/>
  <c r="Y44" i="67"/>
  <c r="Z44" i="67" s="1"/>
  <c r="AE44" i="67"/>
  <c r="Y38" i="67"/>
  <c r="Z38" i="67" s="1"/>
  <c r="AE38" i="67"/>
  <c r="O44" i="67"/>
  <c r="I41" i="95" l="1"/>
  <c r="E13" i="98" s="1"/>
  <c r="F41" i="95"/>
  <c r="H41" i="95"/>
  <c r="D13" i="98" s="1"/>
  <c r="G41" i="95"/>
  <c r="C13" i="98" s="1"/>
  <c r="U37" i="95"/>
  <c r="S37" i="95"/>
  <c r="V37" i="95"/>
  <c r="T37" i="95"/>
  <c r="Y30" i="67"/>
  <c r="Z30" i="67" s="1"/>
  <c r="AE30" i="67"/>
  <c r="AE32" i="67"/>
  <c r="Y32" i="67"/>
  <c r="Z32" i="67" s="1"/>
  <c r="AE42" i="67"/>
  <c r="Y42" i="67"/>
  <c r="Z42" i="67" s="1"/>
  <c r="AE46" i="67"/>
  <c r="Y46" i="67"/>
  <c r="Z46" i="67" s="1"/>
  <c r="Y34" i="67"/>
  <c r="Z34" i="67" s="1"/>
  <c r="AE34" i="67"/>
  <c r="AE48" i="67"/>
  <c r="Y48" i="67"/>
  <c r="Z48" i="67" s="1"/>
  <c r="AE26" i="67"/>
  <c r="Y26" i="67"/>
  <c r="Z26" i="67" s="1"/>
  <c r="T18" i="95"/>
  <c r="U18" i="95"/>
  <c r="V18" i="95" s="1"/>
  <c r="T16" i="95"/>
  <c r="U16" i="95"/>
  <c r="V16" i="95" s="1"/>
  <c r="T15" i="95"/>
  <c r="U15" i="95"/>
  <c r="V15" i="95" s="1"/>
  <c r="F60" i="95" l="1"/>
  <c r="G28" i="95" s="1"/>
  <c r="B13" i="98"/>
  <c r="W37" i="95"/>
  <c r="N23" i="95" s="1"/>
  <c r="F28" i="95" l="1"/>
  <c r="I28" i="95"/>
  <c r="H28" i="95"/>
  <c r="G29" i="95"/>
  <c r="G31" i="95" s="1"/>
  <c r="G30" i="95"/>
  <c r="F30" i="95" l="1"/>
  <c r="F29" i="95"/>
  <c r="F31" i="95" s="1"/>
  <c r="I29" i="95"/>
  <c r="I31" i="95" s="1"/>
  <c r="I30" i="95"/>
  <c r="H29" i="95"/>
  <c r="H31" i="95" s="1"/>
  <c r="H30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Janice</author>
  </authors>
  <commentList>
    <comment ref="F6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Janice: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<sst xmlns="http://schemas.openxmlformats.org/spreadsheetml/2006/main" count="2217" uniqueCount="435">
  <si>
    <t>Loan Amount</t>
  </si>
  <si>
    <t>Monthly Amort</t>
  </si>
  <si>
    <t>MRI Premium</t>
  </si>
  <si>
    <t>Service Fee</t>
  </si>
  <si>
    <t>No Hold-out</t>
  </si>
  <si>
    <t>with 2 mos Hold-out</t>
  </si>
  <si>
    <t>DBP SALARY LOAN PROGRAM</t>
  </si>
  <si>
    <t>AMORTIZATION &amp; NET PROCEEDS COMPUTATION</t>
  </si>
  <si>
    <t>Doc Stamps</t>
  </si>
  <si>
    <t>Net-Take Loan Proceeds</t>
  </si>
  <si>
    <t>13-24 MOS</t>
  </si>
  <si>
    <t>1-12 MOS</t>
  </si>
  <si>
    <t>25-36 MOS</t>
  </si>
  <si>
    <t>MRI PER 1,000.00</t>
  </si>
  <si>
    <t>(FOR TERM OF LOAN OF 1 YEAR ONLY)</t>
  </si>
  <si>
    <t>(FOR TERM OF LOAN OF 3 YEARS ONLY)</t>
  </si>
  <si>
    <t>(FOR TERM OF LOAN OF 2 YEARS ONLY)</t>
  </si>
  <si>
    <t>DEVELOPMENT BANK OF THE PHILIPPINES</t>
  </si>
  <si>
    <t xml:space="preserve">Name of Applicant </t>
  </si>
  <si>
    <t>No. of Years in Service</t>
  </si>
  <si>
    <t>Monthly Basic Pay</t>
  </si>
  <si>
    <t>ACA/PERA/  RATA/                          Others</t>
  </si>
  <si>
    <t>Total Deductions Per Cert. of NTHP</t>
  </si>
  <si>
    <t>Less: Existing DBP Loan</t>
  </si>
  <si>
    <t>Add: New Amortization</t>
  </si>
  <si>
    <t>New Total Deductions</t>
  </si>
  <si>
    <t>Monthly Net Take Home pay</t>
  </si>
  <si>
    <t>Loan Type (New/Ren)</t>
  </si>
  <si>
    <t>Amount of Loan</t>
  </si>
  <si>
    <t>Term of Loan (Months)</t>
  </si>
  <si>
    <t>Age</t>
  </si>
  <si>
    <t>Position</t>
  </si>
  <si>
    <t>NEW</t>
  </si>
  <si>
    <t xml:space="preserve"> Prepared by:</t>
  </si>
  <si>
    <t>Checked by:</t>
  </si>
  <si>
    <t>Approved by:</t>
  </si>
  <si>
    <t>Total Deductions</t>
  </si>
  <si>
    <t>Add: New Amort</t>
  </si>
  <si>
    <t>Less: ACA/PERA</t>
  </si>
  <si>
    <t>INPUT</t>
  </si>
  <si>
    <t>BIRTHDAY</t>
  </si>
  <si>
    <t>PERMANENT</t>
  </si>
  <si>
    <t>DATE</t>
  </si>
  <si>
    <t>Years</t>
  </si>
  <si>
    <t>in Service</t>
  </si>
  <si>
    <t xml:space="preserve">Loanable </t>
  </si>
  <si>
    <t>Amount</t>
  </si>
  <si>
    <t xml:space="preserve">Loan </t>
  </si>
  <si>
    <t>Term</t>
  </si>
  <si>
    <t>Renewal</t>
  </si>
  <si>
    <t>6 mos</t>
  </si>
  <si>
    <t>1 year</t>
  </si>
  <si>
    <t>GUIDE</t>
  </si>
  <si>
    <t>JANICE B. SOLAYAO</t>
  </si>
  <si>
    <t>MGR. HELBERT ANTOINE A. ACHAY</t>
  </si>
  <si>
    <t>AM IRISH MAE N. CREER</t>
  </si>
  <si>
    <t>Loanable Amount</t>
  </si>
  <si>
    <t>PROVINCIAL ENGINEERING OFFICE</t>
  </si>
  <si>
    <t xml:space="preserve"> </t>
  </si>
  <si>
    <t xml:space="preserve">Gross </t>
  </si>
  <si>
    <t xml:space="preserve">Monthly </t>
  </si>
  <si>
    <t>Income</t>
  </si>
  <si>
    <t>Interest</t>
  </si>
  <si>
    <t>Maximum</t>
  </si>
  <si>
    <t>Loan</t>
  </si>
  <si>
    <t>Installment</t>
  </si>
  <si>
    <t>IGIR %</t>
  </si>
  <si>
    <t>Rate</t>
  </si>
  <si>
    <t>IGIR</t>
  </si>
  <si>
    <t>RENEWAL</t>
  </si>
  <si>
    <t>SURNAME</t>
  </si>
  <si>
    <t>FIRST NAME</t>
  </si>
  <si>
    <t>MIDDLE NAME</t>
  </si>
  <si>
    <t>BIRTHDATE</t>
  </si>
  <si>
    <t>DATE PERMANENT</t>
  </si>
  <si>
    <t>NAME OF SPOUSE</t>
  </si>
  <si>
    <t>ADDRESS</t>
  </si>
  <si>
    <t>TIN</t>
  </si>
  <si>
    <t>AGENCY/EMPLOYER</t>
  </si>
  <si>
    <t>POSITION</t>
  </si>
  <si>
    <t>BASIC PAY</t>
  </si>
  <si>
    <t>ACA/PERA/RATA/OTHERS</t>
  </si>
  <si>
    <t>TOTAL DEDUCTIONS PER NTHP</t>
  </si>
  <si>
    <t>APPLICATION NO</t>
  </si>
  <si>
    <t>DATE FILED</t>
  </si>
  <si>
    <t>CERTIFICATION DATE: AS PERMANENT EMPLOYEE</t>
  </si>
  <si>
    <t>CERTIFICATION DATE: NO PENDING ADMIN CASE</t>
  </si>
  <si>
    <t>CERTIFICATION DATE: LEAVE CREDITS</t>
  </si>
  <si>
    <t>DATE ISSUED: SERVICE RECORD</t>
  </si>
  <si>
    <t>DATE ISSUED: CERT OF NET TAKE HOME PAY</t>
  </si>
  <si>
    <t>DATE SWORN: OATH OF OFFICE (ELECTIVE OFF'L)</t>
  </si>
  <si>
    <t>BIR FORM 2316/ITR</t>
  </si>
  <si>
    <t>DATE ISSUED: NFIS CHECKING</t>
  </si>
  <si>
    <t>EXISTING DBP LOAN AMORT</t>
  </si>
  <si>
    <t>15-0070</t>
  </si>
  <si>
    <t>-</t>
  </si>
  <si>
    <t>OT NO AND DATE</t>
  </si>
  <si>
    <t>NAME</t>
  </si>
  <si>
    <t>AGE</t>
  </si>
  <si>
    <t>YEARS IN SERVICE</t>
  </si>
  <si>
    <t>BASIC SALARY</t>
  </si>
  <si>
    <t>ACA/PERA/OTHERS</t>
  </si>
  <si>
    <t>GROSS INCOME</t>
  </si>
  <si>
    <t>MAX LI</t>
  </si>
  <si>
    <t>NEW TOTAL DEDUCTIONS</t>
  </si>
  <si>
    <t>MONTHLY NTHP</t>
  </si>
  <si>
    <t>MAX LOAN AMOUNT</t>
  </si>
  <si>
    <t>AMOUNT OF LOAN</t>
  </si>
  <si>
    <t>INTEREST RATE</t>
  </si>
  <si>
    <t>TERM OF LOAN</t>
  </si>
  <si>
    <t>ADD: NEW AMORT</t>
  </si>
  <si>
    <t>LESS: EXISTING DBP LOANS</t>
  </si>
  <si>
    <t>TYPE OF LOAN (NEW/RENEWAL)</t>
  </si>
  <si>
    <t>4K NTHP</t>
  </si>
  <si>
    <t>NA</t>
  </si>
  <si>
    <t>EVALUATION CHECK</t>
  </si>
  <si>
    <t>Salary Loan Application/</t>
  </si>
  <si>
    <t>Agreement Form</t>
  </si>
  <si>
    <t>Special Power of Attorney</t>
  </si>
  <si>
    <t>Certification (on):</t>
  </si>
  <si>
    <t>Service Record</t>
  </si>
  <si>
    <t>Cert of Net Take Home Pay</t>
  </si>
  <si>
    <t>Oath of Office</t>
  </si>
  <si>
    <t>For Elected Officials</t>
  </si>
  <si>
    <t>BIR Form 2316/ ITR</t>
  </si>
  <si>
    <t>(Others)</t>
  </si>
  <si>
    <t>NFIS Checking</t>
  </si>
  <si>
    <t>As Permanent Employee</t>
  </si>
  <si>
    <t>No Pending Admin. Case</t>
  </si>
  <si>
    <t>Unexpended Leave credits</t>
  </si>
  <si>
    <t>Application No.</t>
  </si>
  <si>
    <t>Date Filed</t>
  </si>
  <si>
    <t>Date Executed</t>
  </si>
  <si>
    <t>Date Issued</t>
  </si>
  <si>
    <t>Date Sworn</t>
  </si>
  <si>
    <t>For Year</t>
  </si>
  <si>
    <t>The undersigned hereby certify the completeness and validity of all documents stated below for the approved transaction per:</t>
  </si>
  <si>
    <t>RSLP - FORM A</t>
  </si>
  <si>
    <t>C E R T I F I C A T I O N</t>
  </si>
  <si>
    <r>
      <t xml:space="preserve">                                   </t>
    </r>
    <r>
      <rPr>
        <b/>
        <sz val="18"/>
        <color indexed="8"/>
        <rFont val="Candara"/>
        <family val="2"/>
      </rPr>
      <t>Development Bank of the Philippines</t>
    </r>
  </si>
  <si>
    <t>(Signature over Printed Name)</t>
  </si>
  <si>
    <t>Date:__________________________</t>
  </si>
  <si>
    <t>Date:____________________</t>
  </si>
  <si>
    <t>ANNEX C-1</t>
  </si>
  <si>
    <t>BRANCH:</t>
  </si>
  <si>
    <t>CATBALOGAN</t>
  </si>
  <si>
    <t>RMC:</t>
  </si>
  <si>
    <t>EASTERN VISAYAS</t>
  </si>
  <si>
    <t>INQUIRY DATE:</t>
  </si>
  <si>
    <t>LIST OF INQUIRIES</t>
  </si>
  <si>
    <t>BEGIN</t>
  </si>
  <si>
    <t>IB_FNAM</t>
  </si>
  <si>
    <t>IB_MNAM</t>
  </si>
  <si>
    <t>IB_LNAM</t>
  </si>
  <si>
    <t>IB_BIRTH</t>
  </si>
  <si>
    <t>IB_TAN</t>
  </si>
  <si>
    <t>IB_SPOUSE</t>
  </si>
  <si>
    <t>IB_ADDR1</t>
  </si>
  <si>
    <t>RECKEY</t>
  </si>
  <si>
    <t>IB_BANKCD</t>
  </si>
  <si>
    <t>DBP</t>
  </si>
  <si>
    <t>END</t>
  </si>
  <si>
    <t xml:space="preserve">notes: </t>
  </si>
  <si>
    <t>1. Encode in all caps</t>
  </si>
  <si>
    <t>2. No special characters</t>
  </si>
  <si>
    <t>3. File name should include branch name.</t>
  </si>
  <si>
    <t>(Format: INQ + first three letters of branch name + date of inquiry mmddyy)</t>
  </si>
  <si>
    <t>Example: INQCLA121013 for Clark Branch inquiry on December 10, 2013</t>
  </si>
  <si>
    <t>PREPARED BY:</t>
  </si>
  <si>
    <t>NOTED BY:</t>
  </si>
  <si>
    <t>DATE EXECUTED: SPA NOTARIZATION DATE</t>
  </si>
  <si>
    <t>BORROWER'S DATA SHEET</t>
  </si>
  <si>
    <t>15-0080</t>
  </si>
  <si>
    <t>OFFICE</t>
  </si>
  <si>
    <t>PROVINCE OF SAMAR RSLP TEMPLATE</t>
  </si>
  <si>
    <t>PROVINCE OF SAMAR1</t>
  </si>
  <si>
    <t>PROVINCE OF SAMAR2</t>
  </si>
  <si>
    <t>RABADAM</t>
  </si>
  <si>
    <t>MARIA EMY</t>
  </si>
  <si>
    <t>TAN</t>
  </si>
  <si>
    <t>ARNEL B RABADAM</t>
  </si>
  <si>
    <t>202 CURRY AVENUE CATBALOGAN CITY SAMAR</t>
  </si>
  <si>
    <t>PROVINCIAL TREASURER OFFICE</t>
  </si>
  <si>
    <t>ADMIN AIDE I</t>
  </si>
  <si>
    <t>OT N0. 15-005   DATED APRIL 7, 2015</t>
  </si>
  <si>
    <t>LEJAS</t>
  </si>
  <si>
    <t>ALLAN</t>
  </si>
  <si>
    <t>GULFERIC</t>
  </si>
  <si>
    <t>MARIAN DAGANZO LEJAS</t>
  </si>
  <si>
    <t>PUROK 1 BRGY CANLAPWAS CATBALOGAN CITY SAMAR</t>
  </si>
  <si>
    <t>CM CAPATAZ</t>
  </si>
  <si>
    <t>NUNEZ</t>
  </si>
  <si>
    <t>JOSE JR</t>
  </si>
  <si>
    <t>ADESAS</t>
  </si>
  <si>
    <t>ERLINDA BACUETES NUNEZ</t>
  </si>
  <si>
    <t>352 RIZAL AVENUE BRGY 12 CATBALOGAN CITY SAMAR</t>
  </si>
  <si>
    <t>PROVINCE OF SAMAR3</t>
  </si>
  <si>
    <t>PROVINCIAL AGRICULTURE OFFICE</t>
  </si>
  <si>
    <t>DRAFTSMAN I</t>
  </si>
  <si>
    <t>LIMA</t>
  </si>
  <si>
    <t>NESTOR</t>
  </si>
  <si>
    <t>PELENO</t>
  </si>
  <si>
    <t>MARY GEN ISANAN LIMA</t>
  </si>
  <si>
    <t>PATONG STREET BRGY GUINSORONGAN CATBALOGAN CITY</t>
  </si>
  <si>
    <t>PROVINCE OF SAMAR4</t>
  </si>
  <si>
    <t>PROVINCIAL WARDENS OFFICE</t>
  </si>
  <si>
    <t>PRISON GUARD I</t>
  </si>
  <si>
    <t>ALEGRIA</t>
  </si>
  <si>
    <t>MARCIANO JR</t>
  </si>
  <si>
    <t>HERNANDEZ</t>
  </si>
  <si>
    <t>MARILYN SOLAYAO ALEGRIA</t>
  </si>
  <si>
    <t>P2 BRGY JIA AN JIABONG SAMAR</t>
  </si>
  <si>
    <t>PROVINCE OF SAMAR5</t>
  </si>
  <si>
    <t>PROVINCE OF SAMAR6</t>
  </si>
  <si>
    <t>ADMIN AIDE III</t>
  </si>
  <si>
    <t>PROVINCIAL HEALTH OFFICE</t>
  </si>
  <si>
    <t>GACELOS</t>
  </si>
  <si>
    <t>MANOLITO</t>
  </si>
  <si>
    <t>ABARRACOSO</t>
  </si>
  <si>
    <t>CHERIE N GACELOS</t>
  </si>
  <si>
    <t>BRGY RAWIS HINABANGAN SAMAR</t>
  </si>
  <si>
    <t>DRIVER I</t>
  </si>
  <si>
    <t>GONZALES</t>
  </si>
  <si>
    <t>LEONILA</t>
  </si>
  <si>
    <t>HILONGO</t>
  </si>
  <si>
    <t>BRGY SAN JOSE ALMAGRO WESTERN SAMAR</t>
  </si>
  <si>
    <t>PROVINCE OF SAMAR7</t>
  </si>
  <si>
    <t>DENTIST II</t>
  </si>
  <si>
    <t>MAYOR</t>
  </si>
  <si>
    <t>CHONA</t>
  </si>
  <si>
    <t>BRANZUELA</t>
  </si>
  <si>
    <t>VENG JAYCO B MAYOR</t>
  </si>
  <si>
    <t>BRGY PANJOBJOBAN ALMAGRO SAMAR</t>
  </si>
  <si>
    <t>DENTAL AIDE</t>
  </si>
  <si>
    <t>YBOA</t>
  </si>
  <si>
    <t>JONAS</t>
  </si>
  <si>
    <t>ABELIDO</t>
  </si>
  <si>
    <t>NANCY ALBOS YBOA</t>
  </si>
  <si>
    <t>5TH ST COR BANOYO ST BRGY 10 CATBALOGAN CITY SAMAR</t>
  </si>
  <si>
    <t>PROVINCE OF SAMAR9</t>
  </si>
  <si>
    <t>ADMIN AIDE VI</t>
  </si>
  <si>
    <t>RUBIA</t>
  </si>
  <si>
    <t>ABARCAR</t>
  </si>
  <si>
    <t>NELSON VILLANUEVA GONZALES</t>
  </si>
  <si>
    <t>NO 20 B 2 LOT 8  BLISS CANLAPWAS CATBALOGAN CITY</t>
  </si>
  <si>
    <t>PROVINCE OF SAMAR10</t>
  </si>
  <si>
    <t>LABORATORY AIDE I</t>
  </si>
  <si>
    <t>ARCALES</t>
  </si>
  <si>
    <t>DOMINGO JR</t>
  </si>
  <si>
    <t>JADLOC</t>
  </si>
  <si>
    <t>491 PUROK 3 BRGY MERCEDES CATBALOGAN CITY</t>
  </si>
  <si>
    <t>PROVINCE OF SAMAR11</t>
  </si>
  <si>
    <t>AGRICULTURAL TECHNICIAN II</t>
  </si>
  <si>
    <t>PROVINCE OF SAMAR12</t>
  </si>
  <si>
    <t>TONELETE</t>
  </si>
  <si>
    <t xml:space="preserve">NARCISA </t>
  </si>
  <si>
    <t>CAMUIN</t>
  </si>
  <si>
    <t>ANTONIO DETALO TONELETE</t>
  </si>
  <si>
    <t>270 BRGY MAULONG CATBALOGAN CITY SAMAR</t>
  </si>
  <si>
    <t>PROVINCIAL SANGGUNIANG PANLALAWIGAN</t>
  </si>
  <si>
    <t>BOARD SECRETARY I</t>
  </si>
  <si>
    <t>GABON</t>
  </si>
  <si>
    <t>MA WINONA</t>
  </si>
  <si>
    <t>CON UI</t>
  </si>
  <si>
    <t>ALEJANDRO CUNA GABON</t>
  </si>
  <si>
    <t>451 GABON BLVD BRGY 3 PARANAS WRIGHT SAMAR</t>
  </si>
  <si>
    <t>PROVINCE OF SAMAR13</t>
  </si>
  <si>
    <t>COMPUTER MAINTENANCE TECHNICIAN</t>
  </si>
  <si>
    <t>REBECCA</t>
  </si>
  <si>
    <t>TILLES</t>
  </si>
  <si>
    <t>117 P 2 BRGY MAULONG CATBALOGAN CITY SAMAR</t>
  </si>
  <si>
    <t>AGRICULTURAL TECHNOLOGIST I</t>
  </si>
  <si>
    <t>PROVINCE OF SAMAR14</t>
  </si>
  <si>
    <t>Tenor</t>
  </si>
  <si>
    <t>Availability</t>
  </si>
  <si>
    <t>Others</t>
  </si>
  <si>
    <t>LGU Province of Samar</t>
  </si>
  <si>
    <t>Dear Mr./Ms.</t>
  </si>
  <si>
    <t>:</t>
  </si>
  <si>
    <t>Interest Rate</t>
  </si>
  <si>
    <t>Months</t>
  </si>
  <si>
    <t>Per Annum</t>
  </si>
  <si>
    <t>Days</t>
  </si>
  <si>
    <t>1. Payment of processing fee of 1% of loan amount with max. of P1,500.00 deducted from loan proceeds</t>
  </si>
  <si>
    <t>2. GRT for all other fees and charges for the account of the borrower</t>
  </si>
  <si>
    <t xml:space="preserve">Should you need for more clarification, please feel free to visit our branch or call our Relationship Officer, </t>
  </si>
  <si>
    <t xml:space="preserve">Ms. Janice B. Solayao at Telephone No. (055) 251-2046.  </t>
  </si>
  <si>
    <t>Thank you.</t>
  </si>
  <si>
    <t>Very truly yours,</t>
  </si>
  <si>
    <t>Branch Head</t>
  </si>
  <si>
    <t xml:space="preserve">We are glad to inform that your salary loan application has been approved today </t>
  </si>
  <si>
    <t>with the following terms and conditions, to wit;</t>
  </si>
  <si>
    <t>Development Bank of the Philippines</t>
  </si>
  <si>
    <t>Catbalogan City, Samar</t>
  </si>
  <si>
    <t>Head, Catbalogan Branch</t>
  </si>
  <si>
    <t>Relationship Officer</t>
  </si>
  <si>
    <t>(Relationship Officer)</t>
  </si>
  <si>
    <t>(Branch Head)</t>
  </si>
  <si>
    <t xml:space="preserve">NTHP </t>
  </si>
  <si>
    <t xml:space="preserve">add dbp </t>
  </si>
  <si>
    <t>loan</t>
  </si>
  <si>
    <t xml:space="preserve">less </t>
  </si>
  <si>
    <t>4K GAA</t>
  </si>
  <si>
    <t xml:space="preserve">AMORT </t>
  </si>
  <si>
    <t xml:space="preserve">TO </t>
  </si>
  <si>
    <t>USE</t>
  </si>
  <si>
    <t>(LI VS GAA)</t>
  </si>
  <si>
    <t>PROMISSORY NOTE</t>
  </si>
  <si>
    <t>PN No.</t>
  </si>
  <si>
    <t>(Date)</t>
  </si>
  <si>
    <t>(</t>
  </si>
  <si>
    <t>)</t>
  </si>
  <si>
    <t>representing the Salary Loan granted by the bank on</t>
  </si>
  <si>
    <t>in monthly amortization/ installment in accordance with</t>
  </si>
  <si>
    <t>the schedule of amortization/installment attached hereto as Annex "A".</t>
  </si>
  <si>
    <t>Signature over Printed Name of Applicant</t>
  </si>
  <si>
    <t>Signature over Printed Name of Co-maker</t>
  </si>
  <si>
    <t>Signed in the presence of:</t>
  </si>
  <si>
    <t>Signed over Printed Name of the SLF Account Officer</t>
  </si>
  <si>
    <t>(If RENEWAL)</t>
  </si>
  <si>
    <t>(if RENEWAL)</t>
  </si>
  <si>
    <t>SM HELBERT ANTOINE A. ACHAY</t>
  </si>
  <si>
    <t>Name of RO</t>
  </si>
  <si>
    <t>Name of Manager</t>
  </si>
  <si>
    <t>Name of BOO</t>
  </si>
  <si>
    <t>NAME OF SIGNATORIES</t>
  </si>
  <si>
    <t>Branch Operations Officer</t>
  </si>
  <si>
    <t>I/We promise to pay to the order of the DBP the sum of</t>
  </si>
  <si>
    <t>Branch</t>
  </si>
  <si>
    <t>Address</t>
  </si>
  <si>
    <t>RMC</t>
  </si>
  <si>
    <t>CATBALOGAN CITY, SAMAR</t>
  </si>
  <si>
    <t>PLEASE PROVIDE INFO ON THE FF:</t>
  </si>
  <si>
    <t>GROSS SALARY</t>
  </si>
  <si>
    <t>OUTSTANDING BALANCE OF EXISTING DBP LOAN</t>
  </si>
  <si>
    <t>MONTHLY AMORTIZATION OF EXISTING DBP LOAN</t>
  </si>
  <si>
    <t>TERM</t>
  </si>
  <si>
    <t>MONTHLY AMORTIZATION</t>
  </si>
  <si>
    <t>HOW MUCH IS YOUR LOANABLE AMOUNT?</t>
  </si>
  <si>
    <t>4 YRS</t>
  </si>
  <si>
    <t>3 YRS</t>
  </si>
  <si>
    <t>2 YRS</t>
  </si>
  <si>
    <t>1 YR</t>
  </si>
  <si>
    <t>ESTIMATED NET PROCEEDS</t>
  </si>
  <si>
    <t>NET TAKE HOME PAY</t>
  </si>
  <si>
    <t>NET SALARY (OR NET TAKE HOME PAY)</t>
  </si>
  <si>
    <t>MAXIMUM LOANABLE AMOUNT</t>
  </si>
  <si>
    <t>NTHP ADD DBP LOAN</t>
  </si>
  <si>
    <t>Less than 10K</t>
  </si>
  <si>
    <t>From 10K to &lt;13K</t>
  </si>
  <si>
    <t>From 13K to &lt;18K</t>
  </si>
  <si>
    <t>From 18K to &lt;38K</t>
  </si>
  <si>
    <t>From 38K and above</t>
  </si>
  <si>
    <t>IGIR TABLE - NEW</t>
  </si>
  <si>
    <t>IGIR TABLE - RENEWAL</t>
  </si>
  <si>
    <t>LOAN INSTALLMENT (LI)</t>
  </si>
  <si>
    <t>INSTALLMENT TO USE</t>
  </si>
  <si>
    <t>INTEREST RATE (PER ANNUM)</t>
  </si>
  <si>
    <t>12 MOS</t>
  </si>
  <si>
    <t>24 MOS</t>
  </si>
  <si>
    <t>36 MOS</t>
  </si>
  <si>
    <t>48 MOS</t>
  </si>
  <si>
    <t>MRI TARIFF (per 1000.00)</t>
  </si>
  <si>
    <t>MRI</t>
  </si>
  <si>
    <t>TOTAL FEES/CHARGES</t>
  </si>
  <si>
    <t>SERVICE FEE</t>
  </si>
  <si>
    <t>DOC STAMPS</t>
  </si>
  <si>
    <t>THANK YOU FOR BANKING WITH DBP!</t>
  </si>
  <si>
    <t xml:space="preserve">COMPUTATIONS </t>
  </si>
  <si>
    <t>COPY RIGHTS: DBP CATBALOGAN</t>
  </si>
  <si>
    <t>---FOR DAR ONLY---</t>
  </si>
  <si>
    <t>LOAN AMOUNT</t>
  </si>
  <si>
    <t>AMORT/MO</t>
  </si>
  <si>
    <t>AMOUNT</t>
  </si>
  <si>
    <r>
      <t xml:space="preserve">TYPE: </t>
    </r>
    <r>
      <rPr>
        <b/>
        <sz val="14"/>
        <color rgb="FFFF0000"/>
        <rFont val="Calibri"/>
        <family val="2"/>
        <scheme val="minor"/>
      </rPr>
      <t>[1]</t>
    </r>
    <r>
      <rPr>
        <b/>
        <sz val="14"/>
        <color theme="1"/>
        <rFont val="Calibri"/>
        <family val="2"/>
        <scheme val="minor"/>
      </rPr>
      <t xml:space="preserve"> FOR RENEWAL/RE-AVAILMENT OR </t>
    </r>
    <r>
      <rPr>
        <b/>
        <sz val="14"/>
        <color rgb="FFFF0000"/>
        <rFont val="Calibri"/>
        <family val="2"/>
        <scheme val="minor"/>
      </rPr>
      <t>[0]</t>
    </r>
    <r>
      <rPr>
        <b/>
        <sz val="14"/>
        <color theme="1"/>
        <rFont val="Calibri"/>
        <family val="2"/>
        <scheme val="minor"/>
      </rPr>
      <t xml:space="preserve"> FOR NEW</t>
    </r>
  </si>
  <si>
    <t>MAX AMORT:</t>
  </si>
  <si>
    <t>Prevailing Factor</t>
  </si>
  <si>
    <t>Remarks</t>
  </si>
  <si>
    <t>Net Proceeds</t>
  </si>
  <si>
    <t>NTHP LESS 3.5K GAA</t>
  </si>
  <si>
    <t>LOAN 1</t>
  </si>
  <si>
    <t>LOAN 2</t>
  </si>
  <si>
    <t>LOAN 3</t>
  </si>
  <si>
    <t>LOAN 4</t>
  </si>
  <si>
    <t>BALANCE</t>
  </si>
  <si>
    <t>AMORT</t>
  </si>
  <si>
    <t>TOTAL</t>
  </si>
  <si>
    <t>INPUT DATA ON WHITE CELLS</t>
  </si>
  <si>
    <r>
      <t xml:space="preserve">TYPE: </t>
    </r>
    <r>
      <rPr>
        <b/>
        <sz val="18"/>
        <color rgb="FFFF0000"/>
        <rFont val="Calibri"/>
        <family val="2"/>
        <scheme val="minor"/>
      </rPr>
      <t>[1]</t>
    </r>
    <r>
      <rPr>
        <b/>
        <sz val="18"/>
        <color theme="1"/>
        <rFont val="Calibri"/>
        <family val="2"/>
        <scheme val="minor"/>
      </rPr>
      <t xml:space="preserve"> FOR RENEWAL/RE-AVAILMENT OR </t>
    </r>
    <r>
      <rPr>
        <b/>
        <sz val="18"/>
        <color rgb="FFFF0000"/>
        <rFont val="Calibri"/>
        <family val="2"/>
        <scheme val="minor"/>
      </rPr>
      <t>[0]</t>
    </r>
    <r>
      <rPr>
        <b/>
        <sz val="18"/>
        <color theme="1"/>
        <rFont val="Calibri"/>
        <family val="2"/>
        <scheme val="minor"/>
      </rPr>
      <t xml:space="preserve"> FOR NEW</t>
    </r>
  </si>
  <si>
    <t>LOANS FOR TAKE-OUT</t>
  </si>
  <si>
    <t>NTHP ADD DBP LOAN AND OTHER LOANS</t>
  </si>
  <si>
    <t>YOUR FINANCING OPPORTUNITY WITH DBP</t>
  </si>
  <si>
    <t xml:space="preserve">GAA NTHP </t>
  </si>
  <si>
    <t>NTHP LESS GAA REQ</t>
  </si>
  <si>
    <t>Max Broken Period Interest</t>
  </si>
  <si>
    <t>BPI days</t>
  </si>
  <si>
    <t>Month-end date</t>
  </si>
  <si>
    <t>Min Loan Amount to Pay-off Everything</t>
  </si>
  <si>
    <t>IGIR RATIO</t>
  </si>
  <si>
    <t>NTHP</t>
  </si>
  <si>
    <t>LOAN EVALUATION GUIDE</t>
  </si>
  <si>
    <t>INC / DEC IN NTHP</t>
  </si>
  <si>
    <t>ORIGINAL EFFECTIVE NTHP</t>
  </si>
  <si>
    <t>SF</t>
  </si>
  <si>
    <t>DST</t>
  </si>
  <si>
    <t>BPI</t>
  </si>
  <si>
    <t>SCHEDULE OF FEES - BASED ON DESIRED LOAN AMORT</t>
  </si>
  <si>
    <t>SCHEDULE OF FEES BASED ON DESIRED LOAN AMOUNT</t>
  </si>
  <si>
    <t>NET PROCEEDS</t>
  </si>
  <si>
    <t>Group Head and BH Approval</t>
  </si>
  <si>
    <t>SECTOR HEAD APPROVAL</t>
  </si>
  <si>
    <t>NTHP - NEW</t>
  </si>
  <si>
    <t>NTHP- NEW</t>
  </si>
  <si>
    <t>NTHP-RENEWAL</t>
  </si>
  <si>
    <t xml:space="preserve"> NEW</t>
  </si>
  <si>
    <t>TERM-RENEWAL</t>
  </si>
  <si>
    <t>IGIR TO USE</t>
  </si>
  <si>
    <t>NTHP COMPUTATION TO PER NTHP TABLE</t>
  </si>
  <si>
    <t>MAX ALLOWABLE TERM OF LOAN</t>
  </si>
  <si>
    <t xml:space="preserve">2018 GAA NTHP </t>
  </si>
  <si>
    <t>COPY RIGHTS: DBP Cebu &amp; Catbalogan Branches</t>
  </si>
  <si>
    <t>COMPUTATIONS FOR LOANABLE AMOUNT PARAMETERS - GROUP HEAD AND BH AUTHORITY</t>
  </si>
  <si>
    <t>COMPUTATIONS FOR LOANABLE AMOUNT PARAMETERS - SECTOR HEAD AUTHORITY</t>
  </si>
  <si>
    <t>CUSTOMIZED EVALUATION
(GH &amp; BH APPROVAL)</t>
  </si>
  <si>
    <t>YOUR GROWTH OPPORTUNITY IS WITH DBP!</t>
  </si>
  <si>
    <t>Prevailing Parameter</t>
  </si>
  <si>
    <t>RENEWAL/REAVAILMENT</t>
  </si>
  <si>
    <t>LOAN CALCULATOR FOR NEW BORROWER</t>
  </si>
  <si>
    <t>Gross Salary for Latest Month (Basic and PERA only): P</t>
  </si>
  <si>
    <t>Net Pay for the Latest Month: P</t>
  </si>
  <si>
    <t>TERM IN YEARS:</t>
  </si>
  <si>
    <t>INTEREST RATE PER ANNUM:</t>
  </si>
  <si>
    <t>MAXIMUM LOAN AMOUNT:</t>
  </si>
  <si>
    <t>MONTHLY AMORTIZATION:</t>
  </si>
  <si>
    <t>ESTIMATED NET PROCEEDS: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</si>
</sst>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Php-3409]#,##0.00_);\([$Php-3409]#,##0.00\)"/>
    <numFmt numFmtId="167" formatCode="0.000%"/>
    <numFmt numFmtId="168" formatCode="[$-409]mmmm\ d\,\ yyyy;@"/>
    <numFmt numFmtId="169" formatCode="_([$PHP]\ * #,##0.00_);_([$PHP]\ * \(#,##0.00\);_([$PHP]\ * &quot;-&quot;??_);_(@_)"/>
  </numFmts>
  <fonts count="1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sz val="7"/>
      <name val="Arial"/>
      <family val="2"/>
    </font>
    <font>
      <sz val="7.5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20"/>
      <color indexed="8"/>
      <name val="Calibri"/>
      <family val="2"/>
    </font>
    <font>
      <sz val="9"/>
      <color indexed="3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9"/>
      <color indexed="9"/>
      <name val="Arial"/>
      <family val="2"/>
    </font>
    <font>
      <b/>
      <sz val="9"/>
      <color indexed="9"/>
      <name val="Arial"/>
      <family val="2"/>
    </font>
    <font>
      <b/>
      <sz val="14"/>
      <color indexed="10"/>
      <name val="Arial"/>
      <family val="2"/>
    </font>
    <font>
      <b/>
      <sz val="11"/>
      <color indexed="30"/>
      <name val="Arial"/>
      <family val="2"/>
    </font>
    <font>
      <sz val="11"/>
      <color indexed="30"/>
      <name val="Arial"/>
      <family val="2"/>
    </font>
    <font>
      <b/>
      <sz val="18"/>
      <color indexed="8"/>
      <name val="Candara"/>
      <family val="2"/>
    </font>
    <font>
      <b/>
      <sz val="9"/>
      <color indexed="30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30"/>
      <name val="Arial"/>
      <family val="2"/>
    </font>
    <font>
      <sz val="9"/>
      <color indexed="8"/>
      <name val="Arial"/>
      <family val="2"/>
    </font>
    <font>
      <b/>
      <sz val="9"/>
      <color indexed="10"/>
      <name val="Arial"/>
      <family val="2"/>
    </font>
    <font>
      <b/>
      <sz val="16"/>
      <color indexed="8"/>
      <name val="Calibri"/>
      <family val="2"/>
    </font>
    <font>
      <b/>
      <sz val="20"/>
      <color indexed="9"/>
      <name val="Calibri"/>
      <family val="2"/>
    </font>
    <font>
      <b/>
      <sz val="18"/>
      <color indexed="9"/>
      <name val="Calibri"/>
      <family val="2"/>
    </font>
    <font>
      <sz val="11"/>
      <name val="Calibri"/>
      <family val="2"/>
    </font>
    <font>
      <i/>
      <sz val="10"/>
      <color indexed="8"/>
      <name val="Times New Roman"/>
      <family val="1"/>
    </font>
    <font>
      <sz val="11"/>
      <color indexed="44"/>
      <name val="Calibri"/>
      <family val="2"/>
    </font>
    <font>
      <b/>
      <sz val="14"/>
      <name val="Calibri"/>
      <family val="2"/>
    </font>
    <font>
      <b/>
      <sz val="14"/>
      <color indexed="10"/>
      <name val="Calibri"/>
      <family val="2"/>
    </font>
    <font>
      <b/>
      <sz val="20"/>
      <color indexed="10"/>
      <name val="Calibri"/>
      <family val="2"/>
    </font>
    <font>
      <b/>
      <sz val="11"/>
      <name val="Calibri"/>
      <family val="2"/>
    </font>
    <font>
      <b/>
      <sz val="11"/>
      <color indexed="10"/>
      <name val="Calibri"/>
      <family val="2"/>
    </font>
    <font>
      <sz val="10"/>
      <color indexed="8"/>
      <name val="Times New Roman"/>
      <family val="1"/>
    </font>
    <font>
      <sz val="10"/>
      <color indexed="30"/>
      <name val="Times New Roman"/>
      <family val="1"/>
    </font>
    <font>
      <sz val="9.5"/>
      <color indexed="30"/>
      <name val="Times New Roman"/>
      <family val="1"/>
    </font>
    <font>
      <sz val="3"/>
      <color indexed="8"/>
      <name val="Calibri"/>
      <family val="2"/>
    </font>
    <font>
      <sz val="3"/>
      <color indexed="30"/>
      <name val="Times New Roman"/>
      <family val="1"/>
    </font>
    <font>
      <sz val="3"/>
      <color indexed="30"/>
      <name val="Calibri"/>
      <family val="2"/>
    </font>
    <font>
      <sz val="11"/>
      <color indexed="30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22"/>
      <color indexed="8"/>
      <name val="Calibri"/>
      <family val="2"/>
    </font>
    <font>
      <b/>
      <u/>
      <sz val="18"/>
      <color indexed="8"/>
      <name val="Calibri"/>
      <family val="2"/>
    </font>
    <font>
      <b/>
      <sz val="20"/>
      <color indexed="8"/>
      <name val="Times New Roman"/>
      <family val="1"/>
    </font>
    <font>
      <sz val="11"/>
      <color indexed="56"/>
      <name val="Calibri"/>
      <family val="2"/>
    </font>
    <font>
      <b/>
      <sz val="18"/>
      <color indexed="8"/>
      <name val="Calibri"/>
      <family val="2"/>
    </font>
    <font>
      <b/>
      <sz val="26"/>
      <color indexed="8"/>
      <name val="Calibri"/>
      <family val="2"/>
    </font>
    <font>
      <b/>
      <sz val="36"/>
      <name val="Calibri"/>
      <family val="2"/>
    </font>
    <font>
      <b/>
      <i/>
      <sz val="36"/>
      <color indexed="8"/>
      <name val="Calibri"/>
      <family val="2"/>
    </font>
    <font>
      <i/>
      <sz val="10"/>
      <color indexed="8"/>
      <name val="Calibri"/>
      <family val="2"/>
    </font>
    <font>
      <b/>
      <sz val="26"/>
      <color indexed="9"/>
      <name val="Calibri"/>
      <family val="2"/>
    </font>
    <font>
      <sz val="11"/>
      <color indexed="8"/>
      <name val="Calibri"/>
      <family val="2"/>
    </font>
    <font>
      <b/>
      <sz val="16"/>
      <color indexed="8"/>
      <name val="Airal narrow"/>
    </font>
    <font>
      <sz val="16"/>
      <color indexed="8"/>
      <name val="Calibri"/>
      <family val="2"/>
    </font>
    <font>
      <sz val="16"/>
      <name val="Calibri"/>
      <family val="2"/>
    </font>
    <font>
      <b/>
      <sz val="16"/>
      <color indexed="8"/>
      <name val="Calibri"/>
      <family val="2"/>
    </font>
    <font>
      <sz val="18"/>
      <color indexed="8"/>
      <name val="Calibri"/>
      <family val="2"/>
    </font>
    <font>
      <sz val="18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6"/>
      <color theme="1"/>
      <name val="Calibri"/>
      <family val="2"/>
      <scheme val="minor"/>
    </font>
    <font>
      <b/>
      <i/>
      <sz val="18"/>
      <color indexed="8"/>
      <name val="Calibri"/>
      <family val="2"/>
    </font>
    <font>
      <b/>
      <sz val="16"/>
      <color indexed="8"/>
      <name val="Arial Narrow"/>
      <family val="2"/>
    </font>
    <font>
      <b/>
      <i/>
      <sz val="16"/>
      <color indexed="8"/>
      <name val="Arial Narrow"/>
      <family val="2"/>
    </font>
    <font>
      <b/>
      <i/>
      <sz val="18"/>
      <color theme="1"/>
      <name val="Calibri"/>
      <family val="2"/>
    </font>
    <font>
      <b/>
      <i/>
      <sz val="22"/>
      <color theme="0"/>
      <name val="Calibri"/>
      <family val="2"/>
    </font>
    <font>
      <b/>
      <i/>
      <sz val="16"/>
      <color theme="0"/>
      <name val="Calibri"/>
      <family val="2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name val="Calibri"/>
      <family val="2"/>
    </font>
    <font>
      <b/>
      <sz val="22"/>
      <color theme="0"/>
      <name val="Calibri"/>
      <family val="2"/>
    </font>
    <font>
      <b/>
      <sz val="48"/>
      <color theme="0"/>
      <name val="Calibri"/>
      <family val="2"/>
      <scheme val="minor"/>
    </font>
    <font>
      <b/>
      <sz val="16"/>
      <color theme="0"/>
      <name val="Airal narrow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8"/>
      <color rgb="FFFF0000"/>
      <name val="Calibri"/>
      <family val="2"/>
      <scheme val="minor"/>
    </font>
    <font>
      <b/>
      <sz val="20"/>
      <color indexed="8"/>
      <name val="Arial Narrow"/>
      <family val="2"/>
    </font>
    <font>
      <b/>
      <sz val="20"/>
      <color indexed="8"/>
      <name val="Airal narrow"/>
    </font>
    <font>
      <b/>
      <i/>
      <sz val="48"/>
      <name val="Calibri"/>
      <family val="2"/>
    </font>
    <font>
      <sz val="16"/>
      <color theme="0"/>
      <name val="Calibri"/>
      <family val="2"/>
      <scheme val="minor"/>
    </font>
    <font>
      <b/>
      <sz val="20"/>
      <color theme="0"/>
      <name val="Arial Narrow"/>
      <family val="2"/>
    </font>
    <font>
      <sz val="20"/>
      <color theme="0"/>
      <name val="Arial Narrow"/>
      <family val="2"/>
    </font>
    <font>
      <b/>
      <i/>
      <sz val="20"/>
      <color theme="0"/>
      <name val="Arial Narrow"/>
      <family val="2"/>
    </font>
    <font>
      <b/>
      <sz val="20"/>
      <name val="Arial Narrow"/>
      <family val="2"/>
    </font>
    <font>
      <b/>
      <sz val="36"/>
      <name val="Calibri"/>
      <family val="2"/>
      <scheme val="minor"/>
    </font>
    <font>
      <b/>
      <i/>
      <sz val="20"/>
      <name val="Arial Narrow"/>
      <family val="2"/>
    </font>
    <font>
      <b/>
      <sz val="20"/>
      <color theme="1"/>
      <name val="Arial Narrow"/>
      <family val="2"/>
    </font>
    <font>
      <sz val="11"/>
      <color theme="0"/>
      <name val="Arial Narrow"/>
      <family val="2"/>
    </font>
    <font>
      <b/>
      <sz val="22"/>
      <color theme="0"/>
      <name val="Arial Narrow"/>
      <family val="2"/>
    </font>
    <font>
      <sz val="22"/>
      <color theme="0"/>
      <name val="Arial Narrow"/>
      <family val="2"/>
    </font>
    <font>
      <sz val="22"/>
      <color theme="1"/>
      <name val="Arial Narrow"/>
      <family val="2"/>
    </font>
    <font>
      <sz val="22"/>
      <color indexed="8"/>
      <name val="Arial Narrow"/>
      <family val="2"/>
    </font>
    <font>
      <b/>
      <sz val="22"/>
      <color theme="1"/>
      <name val="Arial Narrow"/>
      <family val="2"/>
    </font>
    <font>
      <i/>
      <sz val="22"/>
      <color theme="1"/>
      <name val="Arial Narrow"/>
      <family val="2"/>
    </font>
    <font>
      <b/>
      <sz val="28"/>
      <color theme="1"/>
      <name val="Arial Narrow"/>
      <family val="2"/>
    </font>
    <font>
      <sz val="11"/>
      <color theme="1"/>
      <name val="Aharoni"/>
      <charset val="177"/>
    </font>
    <font>
      <b/>
      <sz val="22"/>
      <color theme="1"/>
      <name val="Aharoni"/>
      <charset val="177"/>
    </font>
    <font>
      <sz val="28"/>
      <color rgb="FF0066FF"/>
      <name val="Aharoni"/>
      <charset val="177"/>
    </font>
    <font>
      <b/>
      <sz val="22"/>
      <color rgb="FFFFFFFF"/>
      <name val="Aharoni"/>
      <charset val="177"/>
    </font>
    <font>
      <b/>
      <sz val="22"/>
      <color rgb="FFFFFFFF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66FF"/>
      </left>
      <right style="thin">
        <color rgb="FF0066FF"/>
      </right>
      <top style="thin">
        <color rgb="FF0066FF"/>
      </top>
      <bottom style="thin">
        <color rgb="FF0066FF"/>
      </bottom>
      <diagonal/>
    </border>
  </borders>
  <cellStyleXfs count="6">
    <xf numFmtId="0" fontId="0" fillId="0" borderId="0"/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57">
    <xf numFmtId="0" fontId="0" fillId="0" borderId="0" xfId="0"/>
    <xf numFmtId="0" fontId="12" fillId="0" borderId="1" xfId="0" applyFont="1" applyBorder="1" applyAlignment="1">
      <alignment horizontal="center"/>
    </xf>
    <xf numFmtId="0" fontId="0" fillId="0" borderId="1" xfId="0" applyBorder="1"/>
    <xf numFmtId="164" fontId="11" fillId="0" borderId="1" xfId="1" applyFont="1" applyBorder="1"/>
    <xf numFmtId="164" fontId="0" fillId="0" borderId="1" xfId="0" applyNumberFormat="1" applyBorder="1"/>
    <xf numFmtId="0" fontId="13" fillId="0" borderId="2" xfId="0" applyFont="1" applyBorder="1"/>
    <xf numFmtId="0" fontId="3" fillId="0" borderId="0" xfId="3" applyFont="1"/>
    <xf numFmtId="0" fontId="3" fillId="0" borderId="0" xfId="3" applyFont="1" applyAlignment="1">
      <alignment horizontal="center"/>
    </xf>
    <xf numFmtId="164" fontId="3" fillId="0" borderId="0" xfId="2" applyFont="1"/>
    <xf numFmtId="165" fontId="3" fillId="0" borderId="0" xfId="3" applyNumberFormat="1" applyFont="1" applyAlignment="1">
      <alignment horizontal="center"/>
    </xf>
    <xf numFmtId="0" fontId="3" fillId="2" borderId="0" xfId="3" applyFont="1" applyFill="1"/>
    <xf numFmtId="0" fontId="17" fillId="2" borderId="0" xfId="3" applyFont="1" applyFill="1"/>
    <xf numFmtId="165" fontId="14" fillId="0" borderId="0" xfId="3" applyNumberFormat="1" applyFont="1" applyAlignment="1">
      <alignment horizontal="center"/>
    </xf>
    <xf numFmtId="164" fontId="0" fillId="0" borderId="0" xfId="0" applyNumberFormat="1"/>
    <xf numFmtId="167" fontId="3" fillId="3" borderId="0" xfId="4" applyNumberFormat="1" applyFont="1" applyFill="1"/>
    <xf numFmtId="0" fontId="3" fillId="4" borderId="0" xfId="3" applyFont="1" applyFill="1"/>
    <xf numFmtId="0" fontId="7" fillId="4" borderId="3" xfId="3" applyFont="1" applyFill="1" applyBorder="1" applyAlignment="1">
      <alignment horizontal="center"/>
    </xf>
    <xf numFmtId="0" fontId="7" fillId="4" borderId="0" xfId="3" applyFont="1" applyFill="1" applyAlignment="1">
      <alignment horizontal="center"/>
    </xf>
    <xf numFmtId="0" fontId="7" fillId="4" borderId="4" xfId="3" applyFont="1" applyFill="1" applyBorder="1" applyAlignment="1">
      <alignment horizontal="center"/>
    </xf>
    <xf numFmtId="14" fontId="3" fillId="4" borderId="0" xfId="3" applyNumberFormat="1" applyFont="1" applyFill="1"/>
    <xf numFmtId="14" fontId="3" fillId="4" borderId="1" xfId="3" applyNumberFormat="1" applyFont="1" applyFill="1" applyBorder="1"/>
    <xf numFmtId="0" fontId="3" fillId="4" borderId="0" xfId="3" applyFont="1" applyFill="1" applyAlignment="1">
      <alignment horizontal="center"/>
    </xf>
    <xf numFmtId="164" fontId="3" fillId="4" borderId="0" xfId="2" applyFont="1" applyFill="1"/>
    <xf numFmtId="0" fontId="15" fillId="4" borderId="0" xfId="3" applyFont="1" applyFill="1"/>
    <xf numFmtId="0" fontId="17" fillId="4" borderId="1" xfId="3" applyFont="1" applyFill="1" applyBorder="1"/>
    <xf numFmtId="0" fontId="17" fillId="4" borderId="0" xfId="3" applyFont="1" applyFill="1"/>
    <xf numFmtId="0" fontId="5" fillId="4" borderId="0" xfId="3" applyFont="1" applyFill="1" applyAlignment="1">
      <alignment horizontal="center"/>
    </xf>
    <xf numFmtId="164" fontId="5" fillId="4" borderId="0" xfId="2" applyFont="1" applyFill="1"/>
    <xf numFmtId="164" fontId="5" fillId="4" borderId="0" xfId="2" applyFont="1" applyFill="1" applyAlignment="1">
      <alignment horizontal="center"/>
    </xf>
    <xf numFmtId="0" fontId="6" fillId="4" borderId="0" xfId="3" applyFont="1" applyFill="1"/>
    <xf numFmtId="4" fontId="3" fillId="4" borderId="0" xfId="3" applyNumberFormat="1" applyFont="1" applyFill="1" applyAlignment="1">
      <alignment horizontal="center"/>
    </xf>
    <xf numFmtId="4" fontId="3" fillId="4" borderId="0" xfId="2" applyNumberFormat="1" applyFont="1" applyFill="1"/>
    <xf numFmtId="0" fontId="15" fillId="4" borderId="0" xfId="3" applyFont="1" applyFill="1" applyAlignment="1">
      <alignment horizontal="center"/>
    </xf>
    <xf numFmtId="0" fontId="17" fillId="4" borderId="1" xfId="3" applyFont="1" applyFill="1" applyBorder="1" applyAlignment="1">
      <alignment horizontal="center"/>
    </xf>
    <xf numFmtId="0" fontId="17" fillId="4" borderId="0" xfId="3" applyFont="1" applyFill="1" applyAlignment="1">
      <alignment horizontal="center"/>
    </xf>
    <xf numFmtId="164" fontId="3" fillId="4" borderId="0" xfId="2" applyFont="1" applyFill="1" applyAlignment="1">
      <alignment horizontal="center"/>
    </xf>
    <xf numFmtId="164" fontId="5" fillId="4" borderId="0" xfId="3" applyNumberFormat="1" applyFont="1" applyFill="1" applyAlignment="1">
      <alignment horizontal="center"/>
    </xf>
    <xf numFmtId="1" fontId="3" fillId="4" borderId="0" xfId="2" applyNumberFormat="1" applyFont="1" applyFill="1" applyAlignment="1">
      <alignment horizontal="center"/>
    </xf>
    <xf numFmtId="10" fontId="3" fillId="4" borderId="0" xfId="5" applyNumberFormat="1" applyFont="1" applyFill="1"/>
    <xf numFmtId="0" fontId="17" fillId="4" borderId="5" xfId="3" applyFont="1" applyFill="1" applyBorder="1"/>
    <xf numFmtId="0" fontId="27" fillId="0" borderId="0" xfId="3" applyFont="1"/>
    <xf numFmtId="0" fontId="27" fillId="4" borderId="0" xfId="3" applyFont="1" applyFill="1"/>
    <xf numFmtId="164" fontId="18" fillId="4" borderId="5" xfId="3" applyNumberFormat="1" applyFont="1" applyFill="1" applyBorder="1" applyAlignment="1">
      <alignment horizontal="center"/>
    </xf>
    <xf numFmtId="0" fontId="3" fillId="0" borderId="6" xfId="3" applyFont="1" applyBorder="1" applyAlignment="1">
      <alignment horizontal="center"/>
    </xf>
    <xf numFmtId="165" fontId="14" fillId="0" borderId="6" xfId="3" applyNumberFormat="1" applyFont="1" applyBorder="1" applyAlignment="1">
      <alignment horizontal="center"/>
    </xf>
    <xf numFmtId="165" fontId="14" fillId="0" borderId="6" xfId="3" applyNumberFormat="1" applyFont="1" applyBorder="1" applyAlignment="1">
      <alignment horizontal="left"/>
    </xf>
    <xf numFmtId="165" fontId="14" fillId="0" borderId="4" xfId="3" applyNumberFormat="1" applyFont="1" applyBorder="1" applyAlignment="1">
      <alignment horizontal="center"/>
    </xf>
    <xf numFmtId="0" fontId="19" fillId="0" borderId="7" xfId="3" applyFont="1" applyBorder="1" applyAlignment="1">
      <alignment vertical="center"/>
    </xf>
    <xf numFmtId="164" fontId="3" fillId="0" borderId="8" xfId="2" applyFont="1" applyBorder="1" applyAlignment="1" applyProtection="1">
      <alignment horizontal="center" vertical="center" wrapText="1"/>
    </xf>
    <xf numFmtId="0" fontId="3" fillId="0" borderId="0" xfId="3" applyFont="1" applyProtection="1">
      <protection locked="0"/>
    </xf>
    <xf numFmtId="0" fontId="3" fillId="0" borderId="0" xfId="3" applyFont="1" applyAlignment="1" applyProtection="1">
      <alignment horizontal="center"/>
      <protection locked="0"/>
    </xf>
    <xf numFmtId="0" fontId="3" fillId="0" borderId="9" xfId="3" applyFont="1" applyBorder="1" applyAlignment="1" applyProtection="1">
      <alignment horizontal="center"/>
      <protection locked="0"/>
    </xf>
    <xf numFmtId="4" fontId="14" fillId="0" borderId="0" xfId="2" applyNumberFormat="1" applyFont="1" applyBorder="1" applyAlignment="1" applyProtection="1">
      <alignment horizontal="right"/>
      <protection locked="0"/>
    </xf>
    <xf numFmtId="0" fontId="3" fillId="4" borderId="0" xfId="3" applyFont="1" applyFill="1" applyProtection="1">
      <protection locked="0"/>
    </xf>
    <xf numFmtId="164" fontId="3" fillId="0" borderId="0" xfId="2" applyFont="1" applyProtection="1"/>
    <xf numFmtId="0" fontId="3" fillId="0" borderId="0" xfId="3" applyFont="1" applyAlignment="1">
      <alignment horizontal="left"/>
    </xf>
    <xf numFmtId="164" fontId="3" fillId="0" borderId="0" xfId="2" applyFont="1" applyAlignment="1" applyProtection="1"/>
    <xf numFmtId="164" fontId="3" fillId="0" borderId="0" xfId="2" applyFont="1" applyAlignment="1" applyProtection="1">
      <alignment horizontal="right"/>
    </xf>
    <xf numFmtId="164" fontId="3" fillId="0" borderId="0" xfId="2" applyFont="1" applyAlignment="1" applyProtection="1">
      <alignment horizontal="left"/>
    </xf>
    <xf numFmtId="0" fontId="7" fillId="0" borderId="0" xfId="3" applyFont="1"/>
    <xf numFmtId="164" fontId="3" fillId="0" borderId="0" xfId="2" quotePrefix="1" applyFont="1" applyAlignment="1" applyProtection="1">
      <alignment horizontal="center"/>
    </xf>
    <xf numFmtId="164" fontId="3" fillId="0" borderId="0" xfId="1" applyFont="1" applyProtection="1"/>
    <xf numFmtId="0" fontId="3" fillId="0" borderId="8" xfId="3" applyFont="1" applyBorder="1" applyAlignment="1">
      <alignment horizontal="center"/>
    </xf>
    <xf numFmtId="0" fontId="3" fillId="0" borderId="8" xfId="3" applyFont="1" applyBorder="1" applyAlignment="1">
      <alignment horizontal="center" vertical="center" wrapText="1"/>
    </xf>
    <xf numFmtId="164" fontId="3" fillId="0" borderId="8" xfId="2" applyFont="1" applyBorder="1" applyAlignment="1" applyProtection="1">
      <alignment horizontal="center"/>
    </xf>
    <xf numFmtId="164" fontId="3" fillId="0" borderId="3" xfId="2" applyFont="1" applyBorder="1" applyAlignment="1" applyProtection="1">
      <alignment horizontal="center" vertical="center" wrapText="1"/>
    </xf>
    <xf numFmtId="0" fontId="3" fillId="0" borderId="10" xfId="3" applyFont="1" applyBorder="1" applyAlignment="1">
      <alignment horizontal="center"/>
    </xf>
    <xf numFmtId="164" fontId="3" fillId="0" borderId="10" xfId="2" applyFont="1" applyBorder="1" applyAlignment="1" applyProtection="1">
      <alignment horizontal="center"/>
    </xf>
    <xf numFmtId="0" fontId="3" fillId="0" borderId="10" xfId="3" applyFont="1" applyBorder="1" applyAlignment="1">
      <alignment horizontal="center" vertical="center" wrapText="1"/>
    </xf>
    <xf numFmtId="164" fontId="3" fillId="0" borderId="10" xfId="2" applyFont="1" applyBorder="1" applyAlignment="1" applyProtection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64" fontId="3" fillId="0" borderId="0" xfId="2" applyFont="1" applyBorder="1" applyAlignment="1" applyProtection="1">
      <alignment horizontal="center" vertical="center" wrapText="1"/>
    </xf>
    <xf numFmtId="0" fontId="3" fillId="0" borderId="9" xfId="3" applyFont="1" applyBorder="1" applyAlignment="1">
      <alignment horizontal="center"/>
    </xf>
    <xf numFmtId="164" fontId="3" fillId="0" borderId="9" xfId="2" applyFont="1" applyBorder="1" applyAlignment="1" applyProtection="1">
      <alignment horizontal="center"/>
    </xf>
    <xf numFmtId="164" fontId="3" fillId="0" borderId="11" xfId="2" applyFont="1" applyBorder="1" applyAlignment="1" applyProtection="1">
      <alignment horizontal="center"/>
    </xf>
    <xf numFmtId="164" fontId="3" fillId="0" borderId="7" xfId="2" applyFont="1" applyBorder="1" applyAlignment="1" applyProtection="1">
      <alignment horizontal="center"/>
    </xf>
    <xf numFmtId="164" fontId="3" fillId="0" borderId="12" xfId="2" applyFont="1" applyBorder="1" applyAlignment="1" applyProtection="1">
      <alignment horizontal="center"/>
    </xf>
    <xf numFmtId="0" fontId="8" fillId="0" borderId="0" xfId="3" applyFont="1" applyAlignment="1">
      <alignment horizontal="left"/>
    </xf>
    <xf numFmtId="164" fontId="3" fillId="0" borderId="0" xfId="2" applyFont="1" applyBorder="1" applyAlignment="1" applyProtection="1">
      <alignment horizontal="center"/>
    </xf>
    <xf numFmtId="0" fontId="4" fillId="0" borderId="0" xfId="3" applyFont="1" applyAlignment="1">
      <alignment horizontal="left"/>
    </xf>
    <xf numFmtId="165" fontId="14" fillId="0" borderId="0" xfId="1" applyNumberFormat="1" applyFont="1" applyBorder="1" applyAlignment="1" applyProtection="1">
      <alignment horizontal="center"/>
    </xf>
    <xf numFmtId="164" fontId="3" fillId="0" borderId="0" xfId="2" applyFont="1" applyBorder="1" applyProtection="1"/>
    <xf numFmtId="164" fontId="14" fillId="0" borderId="0" xfId="1" applyFont="1" applyBorder="1" applyAlignment="1" applyProtection="1">
      <alignment horizontal="right" indent="2"/>
    </xf>
    <xf numFmtId="164" fontId="14" fillId="0" borderId="0" xfId="2" applyFont="1" applyBorder="1" applyProtection="1"/>
    <xf numFmtId="0" fontId="3" fillId="0" borderId="0" xfId="3" applyFont="1" applyAlignment="1">
      <alignment horizontal="left" indent="2"/>
    </xf>
    <xf numFmtId="164" fontId="3" fillId="0" borderId="0" xfId="2" quotePrefix="1" applyFont="1" applyBorder="1" applyAlignment="1" applyProtection="1">
      <alignment horizontal="center"/>
    </xf>
    <xf numFmtId="164" fontId="3" fillId="0" borderId="0" xfId="2" applyFont="1" applyBorder="1" applyAlignment="1" applyProtection="1">
      <alignment horizontal="right" indent="2"/>
    </xf>
    <xf numFmtId="164" fontId="14" fillId="0" borderId="0" xfId="2" applyFont="1" applyBorder="1" applyAlignment="1" applyProtection="1">
      <alignment horizontal="right" indent="2"/>
    </xf>
    <xf numFmtId="0" fontId="8" fillId="0" borderId="0" xfId="3" applyFont="1"/>
    <xf numFmtId="164" fontId="27" fillId="0" borderId="0" xfId="2" applyFont="1" applyBorder="1" applyAlignment="1" applyProtection="1">
      <alignment horizontal="right" indent="2"/>
    </xf>
    <xf numFmtId="164" fontId="27" fillId="0" borderId="0" xfId="2" applyFont="1" applyBorder="1" applyAlignment="1" applyProtection="1">
      <alignment horizontal="center"/>
    </xf>
    <xf numFmtId="165" fontId="14" fillId="0" borderId="0" xfId="1" applyNumberFormat="1" applyFont="1" applyBorder="1" applyAlignment="1" applyProtection="1">
      <alignment horizontal="left"/>
    </xf>
    <xf numFmtId="164" fontId="14" fillId="0" borderId="0" xfId="1" applyFont="1" applyBorder="1" applyAlignment="1" applyProtection="1">
      <alignment horizontal="center"/>
    </xf>
    <xf numFmtId="9" fontId="14" fillId="0" borderId="0" xfId="4" applyFont="1" applyBorder="1" applyAlignment="1" applyProtection="1">
      <alignment horizontal="center"/>
    </xf>
    <xf numFmtId="165" fontId="14" fillId="0" borderId="13" xfId="1" applyNumberFormat="1" applyFont="1" applyBorder="1" applyAlignment="1" applyProtection="1">
      <alignment horizontal="center"/>
    </xf>
    <xf numFmtId="164" fontId="3" fillId="0" borderId="13" xfId="2" applyFont="1" applyBorder="1" applyProtection="1"/>
    <xf numFmtId="164" fontId="27" fillId="0" borderId="13" xfId="2" applyFont="1" applyBorder="1" applyProtection="1"/>
    <xf numFmtId="9" fontId="27" fillId="0" borderId="13" xfId="4" applyFont="1" applyBorder="1" applyProtection="1"/>
    <xf numFmtId="164" fontId="27" fillId="0" borderId="13" xfId="1" applyFont="1" applyBorder="1" applyAlignment="1" applyProtection="1">
      <alignment horizontal="right" indent="2"/>
    </xf>
    <xf numFmtId="164" fontId="14" fillId="0" borderId="13" xfId="1" applyFont="1" applyBorder="1" applyAlignment="1" applyProtection="1">
      <alignment horizontal="right" indent="2"/>
    </xf>
    <xf numFmtId="164" fontId="14" fillId="0" borderId="13" xfId="2" applyFont="1" applyBorder="1" applyProtection="1"/>
    <xf numFmtId="164" fontId="27" fillId="0" borderId="13" xfId="2" applyFont="1" applyBorder="1" applyAlignment="1" applyProtection="1">
      <alignment horizontal="center"/>
    </xf>
    <xf numFmtId="164" fontId="27" fillId="0" borderId="13" xfId="1" applyFont="1" applyBorder="1" applyProtection="1"/>
    <xf numFmtId="164" fontId="7" fillId="0" borderId="0" xfId="2" applyFont="1" applyProtection="1"/>
    <xf numFmtId="4" fontId="20" fillId="0" borderId="4" xfId="2" applyNumberFormat="1" applyFont="1" applyBorder="1" applyAlignment="1" applyProtection="1">
      <alignment horizontal="right"/>
    </xf>
    <xf numFmtId="0" fontId="28" fillId="0" borderId="10" xfId="0" applyFont="1" applyBorder="1" applyAlignment="1">
      <alignment horizontal="center" wrapText="1"/>
    </xf>
    <xf numFmtId="4" fontId="14" fillId="0" borderId="0" xfId="2" applyNumberFormat="1" applyFont="1" applyBorder="1" applyAlignment="1" applyProtection="1">
      <alignment horizontal="right"/>
    </xf>
    <xf numFmtId="4" fontId="27" fillId="0" borderId="0" xfId="2" applyNumberFormat="1" applyFont="1" applyBorder="1" applyAlignment="1" applyProtection="1">
      <alignment horizontal="right"/>
    </xf>
    <xf numFmtId="167" fontId="14" fillId="0" borderId="0" xfId="4" applyNumberFormat="1" applyFont="1" applyBorder="1" applyAlignment="1" applyProtection="1">
      <alignment horizontal="center"/>
    </xf>
    <xf numFmtId="167" fontId="27" fillId="0" borderId="13" xfId="4" applyNumberFormat="1" applyFont="1" applyBorder="1" applyProtection="1"/>
    <xf numFmtId="166" fontId="3" fillId="0" borderId="0" xfId="2" applyNumberFormat="1" applyFont="1" applyBorder="1" applyProtection="1"/>
    <xf numFmtId="164" fontId="3" fillId="4" borderId="0" xfId="2" applyFont="1" applyFill="1" applyAlignment="1" applyProtection="1">
      <alignment horizontal="center"/>
    </xf>
    <xf numFmtId="164" fontId="3" fillId="4" borderId="0" xfId="3" applyNumberFormat="1" applyFont="1" applyFill="1" applyAlignment="1">
      <alignment horizontal="center"/>
    </xf>
    <xf numFmtId="164" fontId="3" fillId="4" borderId="0" xfId="2" applyFont="1" applyFill="1" applyProtection="1"/>
    <xf numFmtId="164" fontId="3" fillId="0" borderId="0" xfId="3" applyNumberFormat="1" applyFont="1" applyAlignment="1">
      <alignment horizontal="center"/>
    </xf>
    <xf numFmtId="0" fontId="19" fillId="4" borderId="14" xfId="3" applyFont="1" applyFill="1" applyBorder="1" applyAlignment="1">
      <alignment horizontal="center" vertical="center"/>
    </xf>
    <xf numFmtId="0" fontId="15" fillId="4" borderId="15" xfId="3" applyFont="1" applyFill="1" applyBorder="1"/>
    <xf numFmtId="0" fontId="16" fillId="4" borderId="15" xfId="3" applyFont="1" applyFill="1" applyBorder="1" applyAlignment="1">
      <alignment horizontal="left"/>
    </xf>
    <xf numFmtId="0" fontId="16" fillId="4" borderId="15" xfId="3" applyFont="1" applyFill="1" applyBorder="1"/>
    <xf numFmtId="0" fontId="16" fillId="4" borderId="15" xfId="3" applyFont="1" applyFill="1" applyBorder="1" applyAlignment="1">
      <alignment horizontal="center"/>
    </xf>
    <xf numFmtId="0" fontId="29" fillId="4" borderId="14" xfId="3" applyFont="1" applyFill="1" applyBorder="1" applyAlignment="1">
      <alignment horizontal="center"/>
    </xf>
    <xf numFmtId="0" fontId="16" fillId="4" borderId="14" xfId="3" applyFont="1" applyFill="1" applyBorder="1" applyAlignment="1">
      <alignment horizontal="center"/>
    </xf>
    <xf numFmtId="0" fontId="29" fillId="4" borderId="0" xfId="3" applyFont="1" applyFill="1" applyAlignment="1">
      <alignment horizontal="center"/>
    </xf>
    <xf numFmtId="0" fontId="16" fillId="4" borderId="0" xfId="3" applyFont="1" applyFill="1" applyAlignment="1">
      <alignment horizontal="center"/>
    </xf>
    <xf numFmtId="0" fontId="16" fillId="4" borderId="0" xfId="3" applyFont="1" applyFill="1" applyAlignment="1">
      <alignment horizontal="left"/>
    </xf>
    <xf numFmtId="0" fontId="7" fillId="0" borderId="11" xfId="3" applyFont="1" applyBorder="1" applyAlignment="1" applyProtection="1">
      <alignment horizontal="center"/>
      <protection locked="0"/>
    </xf>
    <xf numFmtId="4" fontId="3" fillId="0" borderId="0" xfId="2" applyNumberFormat="1" applyFont="1" applyBorder="1" applyAlignment="1" applyProtection="1">
      <alignment horizontal="right"/>
      <protection locked="0"/>
    </xf>
    <xf numFmtId="166" fontId="3" fillId="0" borderId="0" xfId="2" applyNumberFormat="1" applyFont="1" applyBorder="1" applyProtection="1">
      <protection locked="0"/>
    </xf>
    <xf numFmtId="0" fontId="3" fillId="4" borderId="0" xfId="3" applyFont="1" applyFill="1" applyAlignment="1" applyProtection="1">
      <alignment horizontal="center"/>
      <protection locked="0"/>
    </xf>
    <xf numFmtId="164" fontId="3" fillId="4" borderId="0" xfId="2" applyFont="1" applyFill="1" applyAlignment="1" applyProtection="1">
      <alignment horizontal="center"/>
      <protection locked="0"/>
    </xf>
    <xf numFmtId="164" fontId="3" fillId="4" borderId="0" xfId="3" applyNumberFormat="1" applyFont="1" applyFill="1" applyAlignment="1" applyProtection="1">
      <alignment horizontal="center"/>
      <protection locked="0"/>
    </xf>
    <xf numFmtId="164" fontId="3" fillId="4" borderId="0" xfId="2" applyFont="1" applyFill="1" applyProtection="1">
      <protection locked="0"/>
    </xf>
    <xf numFmtId="164" fontId="3" fillId="0" borderId="0" xfId="3" applyNumberFormat="1" applyFont="1" applyAlignment="1" applyProtection="1">
      <alignment horizontal="center"/>
      <protection locked="0"/>
    </xf>
    <xf numFmtId="167" fontId="3" fillId="0" borderId="0" xfId="4" applyNumberFormat="1" applyFont="1" applyFill="1" applyProtection="1">
      <protection locked="0"/>
    </xf>
    <xf numFmtId="165" fontId="14" fillId="0" borderId="0" xfId="3" applyNumberFormat="1" applyFont="1" applyAlignment="1" applyProtection="1">
      <alignment horizontal="center"/>
      <protection locked="0"/>
    </xf>
    <xf numFmtId="165" fontId="14" fillId="0" borderId="0" xfId="3" applyNumberFormat="1" applyFont="1" applyAlignment="1" applyProtection="1">
      <alignment horizontal="left"/>
      <protection locked="0"/>
    </xf>
    <xf numFmtId="165" fontId="21" fillId="0" borderId="0" xfId="3" applyNumberFormat="1" applyFont="1" applyAlignment="1" applyProtection="1">
      <alignment horizontal="center"/>
      <protection locked="0"/>
    </xf>
    <xf numFmtId="165" fontId="3" fillId="0" borderId="0" xfId="3" applyNumberFormat="1" applyFont="1" applyAlignment="1" applyProtection="1">
      <alignment horizontal="center"/>
      <protection locked="0"/>
    </xf>
    <xf numFmtId="0" fontId="0" fillId="4" borderId="0" xfId="0" applyFill="1"/>
    <xf numFmtId="0" fontId="30" fillId="3" borderId="0" xfId="0" applyFont="1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24" fillId="4" borderId="0" xfId="0" applyFont="1" applyFill="1"/>
    <xf numFmtId="0" fontId="24" fillId="5" borderId="16" xfId="0" applyFont="1" applyFill="1" applyBorder="1"/>
    <xf numFmtId="0" fontId="31" fillId="5" borderId="17" xfId="0" applyFont="1" applyFill="1" applyBorder="1" applyAlignment="1">
      <alignment horizontal="right"/>
    </xf>
    <xf numFmtId="0" fontId="31" fillId="6" borderId="0" xfId="0" applyFont="1" applyFill="1" applyAlignment="1">
      <alignment horizontal="right"/>
    </xf>
    <xf numFmtId="0" fontId="31" fillId="6" borderId="0" xfId="0" applyFont="1" applyFill="1" applyAlignment="1">
      <alignment horizontal="center"/>
    </xf>
    <xf numFmtId="0" fontId="31" fillId="5" borderId="18" xfId="0" applyFont="1" applyFill="1" applyBorder="1" applyAlignment="1">
      <alignment horizontal="right"/>
    </xf>
    <xf numFmtId="0" fontId="24" fillId="0" borderId="0" xfId="0" applyFont="1"/>
    <xf numFmtId="0" fontId="32" fillId="5" borderId="6" xfId="0" applyFont="1" applyFill="1" applyBorder="1" applyAlignment="1">
      <alignment horizontal="right"/>
    </xf>
    <xf numFmtId="0" fontId="33" fillId="4" borderId="0" xfId="0" applyFont="1" applyFill="1"/>
    <xf numFmtId="0" fontId="33" fillId="0" borderId="0" xfId="0" applyFont="1"/>
    <xf numFmtId="0" fontId="0" fillId="4" borderId="6" xfId="0" applyFill="1" applyBorder="1"/>
    <xf numFmtId="0" fontId="26" fillId="4" borderId="0" xfId="0" applyFont="1" applyFill="1"/>
    <xf numFmtId="0" fontId="26" fillId="0" borderId="0" xfId="0" applyFont="1"/>
    <xf numFmtId="0" fontId="25" fillId="4" borderId="0" xfId="0" applyFont="1" applyFill="1" applyAlignment="1">
      <alignment horizontal="left"/>
    </xf>
    <xf numFmtId="0" fontId="25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top" wrapText="1"/>
    </xf>
    <xf numFmtId="0" fontId="34" fillId="0" borderId="20" xfId="0" applyFont="1" applyBorder="1" applyAlignment="1">
      <alignment horizontal="center" vertical="top" wrapText="1"/>
    </xf>
    <xf numFmtId="0" fontId="34" fillId="0" borderId="18" xfId="0" applyFont="1" applyBorder="1" applyAlignment="1">
      <alignment horizontal="center" vertical="top" wrapText="1"/>
    </xf>
    <xf numFmtId="0" fontId="34" fillId="0" borderId="0" xfId="0" applyFont="1" applyAlignment="1">
      <alignment horizontal="center" vertical="top" wrapText="1"/>
    </xf>
    <xf numFmtId="0" fontId="0" fillId="7" borderId="19" xfId="0" applyFill="1" applyBorder="1"/>
    <xf numFmtId="0" fontId="0" fillId="7" borderId="20" xfId="0" applyFill="1" applyBorder="1"/>
    <xf numFmtId="0" fontId="0" fillId="7" borderId="18" xfId="0" applyFill="1" applyBorder="1"/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3" fillId="4" borderId="6" xfId="0" applyFont="1" applyFill="1" applyBorder="1" applyAlignment="1">
      <alignment horizontal="left"/>
    </xf>
    <xf numFmtId="14" fontId="33" fillId="4" borderId="0" xfId="0" applyNumberFormat="1" applyFont="1" applyFill="1" applyAlignment="1">
      <alignment horizontal="left"/>
    </xf>
    <xf numFmtId="0" fontId="33" fillId="4" borderId="0" xfId="0" applyFont="1" applyFill="1" applyAlignment="1">
      <alignment horizontal="center"/>
    </xf>
    <xf numFmtId="0" fontId="33" fillId="4" borderId="0" xfId="0" applyFont="1" applyFill="1" applyAlignment="1">
      <alignment horizontal="left"/>
    </xf>
    <xf numFmtId="164" fontId="33" fillId="4" borderId="0" xfId="1" applyFont="1" applyFill="1" applyBorder="1" applyAlignment="1" applyProtection="1">
      <alignment horizontal="left"/>
    </xf>
    <xf numFmtId="164" fontId="33" fillId="4" borderId="0" xfId="0" applyNumberFormat="1" applyFont="1" applyFill="1" applyAlignment="1">
      <alignment horizontal="left"/>
    </xf>
    <xf numFmtId="9" fontId="3" fillId="4" borderId="0" xfId="4" applyFont="1" applyFill="1" applyBorder="1" applyProtection="1"/>
    <xf numFmtId="164" fontId="3" fillId="4" borderId="0" xfId="1" applyFont="1" applyFill="1" applyBorder="1" applyAlignment="1" applyProtection="1">
      <alignment horizontal="right" indent="2"/>
    </xf>
    <xf numFmtId="164" fontId="3" fillId="4" borderId="0" xfId="1" applyFont="1" applyFill="1" applyBorder="1" applyProtection="1"/>
    <xf numFmtId="164" fontId="3" fillId="4" borderId="0" xfId="2" applyFont="1" applyFill="1" applyBorder="1" applyAlignment="1" applyProtection="1">
      <alignment horizontal="center"/>
    </xf>
    <xf numFmtId="164" fontId="3" fillId="4" borderId="0" xfId="1" applyFont="1" applyFill="1" applyBorder="1" applyAlignment="1" applyProtection="1">
      <alignment horizontal="right"/>
    </xf>
    <xf numFmtId="167" fontId="3" fillId="4" borderId="0" xfId="4" applyNumberFormat="1" applyFont="1" applyFill="1" applyBorder="1" applyProtection="1"/>
    <xf numFmtId="165" fontId="3" fillId="4" borderId="15" xfId="1" applyNumberFormat="1" applyFont="1" applyFill="1" applyBorder="1" applyAlignment="1" applyProtection="1">
      <alignment horizontal="left"/>
    </xf>
    <xf numFmtId="165" fontId="3" fillId="4" borderId="0" xfId="1" applyNumberFormat="1" applyFont="1" applyFill="1" applyBorder="1" applyAlignment="1" applyProtection="1">
      <alignment horizontal="left"/>
    </xf>
    <xf numFmtId="165" fontId="3" fillId="8" borderId="6" xfId="1" applyNumberFormat="1" applyFont="1" applyFill="1" applyBorder="1" applyAlignment="1" applyProtection="1">
      <alignment horizontal="center"/>
    </xf>
    <xf numFmtId="14" fontId="3" fillId="8" borderId="0" xfId="1" applyNumberFormat="1" applyFont="1" applyFill="1" applyBorder="1" applyAlignment="1" applyProtection="1">
      <alignment horizontal="center"/>
    </xf>
    <xf numFmtId="0" fontId="3" fillId="8" borderId="0" xfId="1" applyNumberFormat="1" applyFont="1" applyFill="1" applyBorder="1" applyAlignment="1" applyProtection="1">
      <alignment horizontal="center"/>
    </xf>
    <xf numFmtId="14" fontId="3" fillId="8" borderId="15" xfId="1" applyNumberFormat="1" applyFont="1" applyFill="1" applyBorder="1" applyAlignment="1" applyProtection="1">
      <alignment horizontal="center"/>
    </xf>
    <xf numFmtId="165" fontId="3" fillId="7" borderId="6" xfId="1" applyNumberFormat="1" applyFont="1" applyFill="1" applyBorder="1" applyAlignment="1" applyProtection="1">
      <alignment horizontal="left"/>
    </xf>
    <xf numFmtId="165" fontId="3" fillId="7" borderId="0" xfId="1" applyNumberFormat="1" applyFont="1" applyFill="1" applyBorder="1" applyAlignment="1" applyProtection="1">
      <alignment horizontal="left"/>
    </xf>
    <xf numFmtId="0" fontId="3" fillId="7" borderId="0" xfId="1" applyNumberFormat="1" applyFont="1" applyFill="1" applyBorder="1" applyAlignment="1" applyProtection="1">
      <alignment horizontal="left"/>
    </xf>
    <xf numFmtId="14" fontId="3" fillId="7" borderId="0" xfId="1" applyNumberFormat="1" applyFont="1" applyFill="1" applyBorder="1" applyAlignment="1" applyProtection="1">
      <alignment horizontal="right"/>
    </xf>
    <xf numFmtId="165" fontId="3" fillId="7" borderId="15" xfId="1" applyNumberFormat="1" applyFont="1" applyFill="1" applyBorder="1" applyAlignment="1" applyProtection="1">
      <alignment horizontal="left"/>
    </xf>
    <xf numFmtId="165" fontId="3" fillId="4" borderId="0" xfId="3" applyNumberFormat="1" applyFont="1" applyFill="1" applyAlignment="1">
      <alignment horizontal="center"/>
    </xf>
    <xf numFmtId="0" fontId="35" fillId="4" borderId="0" xfId="0" applyFont="1" applyFill="1" applyAlignment="1">
      <alignment horizontal="left"/>
    </xf>
    <xf numFmtId="0" fontId="35" fillId="4" borderId="0" xfId="0" applyFont="1" applyFill="1"/>
    <xf numFmtId="165" fontId="3" fillId="4" borderId="15" xfId="3" applyNumberFormat="1" applyFont="1" applyFill="1" applyBorder="1" applyAlignment="1">
      <alignment horizontal="left"/>
    </xf>
    <xf numFmtId="165" fontId="3" fillId="8" borderId="6" xfId="3" applyNumberFormat="1" applyFont="1" applyFill="1" applyBorder="1" applyAlignment="1">
      <alignment horizontal="center"/>
    </xf>
    <xf numFmtId="14" fontId="3" fillId="8" borderId="0" xfId="3" applyNumberFormat="1" applyFont="1" applyFill="1" applyAlignment="1">
      <alignment horizontal="center"/>
    </xf>
    <xf numFmtId="14" fontId="3" fillId="8" borderId="15" xfId="3" applyNumberFormat="1" applyFont="1" applyFill="1" applyBorder="1" applyAlignment="1">
      <alignment horizontal="center"/>
    </xf>
    <xf numFmtId="165" fontId="3" fillId="7" borderId="6" xfId="3" applyNumberFormat="1" applyFont="1" applyFill="1" applyBorder="1" applyAlignment="1">
      <alignment horizontal="left"/>
    </xf>
    <xf numFmtId="165" fontId="3" fillId="7" borderId="0" xfId="3" applyNumberFormat="1" applyFont="1" applyFill="1" applyAlignment="1">
      <alignment horizontal="left"/>
    </xf>
    <xf numFmtId="0" fontId="3" fillId="7" borderId="0" xfId="3" applyFont="1" applyFill="1" applyAlignment="1">
      <alignment horizontal="left"/>
    </xf>
    <xf numFmtId="14" fontId="3" fillId="7" borderId="0" xfId="3" applyNumberFormat="1" applyFont="1" applyFill="1" applyAlignment="1">
      <alignment horizontal="right"/>
    </xf>
    <xf numFmtId="165" fontId="3" fillId="7" borderId="15" xfId="3" applyNumberFormat="1" applyFont="1" applyFill="1" applyBorder="1" applyAlignment="1">
      <alignment horizontal="left"/>
    </xf>
    <xf numFmtId="49" fontId="3" fillId="8" borderId="6" xfId="1" applyNumberFormat="1" applyFont="1" applyFill="1" applyBorder="1" applyAlignment="1" applyProtection="1">
      <alignment horizontal="center"/>
    </xf>
    <xf numFmtId="0" fontId="33" fillId="4" borderId="21" xfId="0" applyFont="1" applyFill="1" applyBorder="1" applyAlignment="1">
      <alignment horizontal="left"/>
    </xf>
    <xf numFmtId="14" fontId="33" fillId="4" borderId="4" xfId="0" applyNumberFormat="1" applyFont="1" applyFill="1" applyBorder="1" applyAlignment="1">
      <alignment horizontal="left"/>
    </xf>
    <xf numFmtId="0" fontId="33" fillId="4" borderId="4" xfId="0" applyFont="1" applyFill="1" applyBorder="1" applyAlignment="1">
      <alignment horizontal="center"/>
    </xf>
    <xf numFmtId="0" fontId="33" fillId="4" borderId="4" xfId="0" applyFont="1" applyFill="1" applyBorder="1" applyAlignment="1">
      <alignment horizontal="left"/>
    </xf>
    <xf numFmtId="164" fontId="33" fillId="4" borderId="4" xfId="1" applyFont="1" applyFill="1" applyBorder="1" applyAlignment="1" applyProtection="1">
      <alignment horizontal="left"/>
    </xf>
    <xf numFmtId="164" fontId="33" fillId="4" borderId="4" xfId="0" applyNumberFormat="1" applyFont="1" applyFill="1" applyBorder="1" applyAlignment="1">
      <alignment horizontal="left"/>
    </xf>
    <xf numFmtId="9" fontId="3" fillId="4" borderId="4" xfId="4" applyFont="1" applyFill="1" applyBorder="1" applyProtection="1"/>
    <xf numFmtId="164" fontId="3" fillId="4" borderId="4" xfId="1" applyFont="1" applyFill="1" applyBorder="1" applyAlignment="1" applyProtection="1">
      <alignment horizontal="right" indent="2"/>
    </xf>
    <xf numFmtId="164" fontId="3" fillId="4" borderId="4" xfId="1" applyFont="1" applyFill="1" applyBorder="1" applyProtection="1"/>
    <xf numFmtId="164" fontId="3" fillId="4" borderId="4" xfId="2" applyFont="1" applyFill="1" applyBorder="1" applyAlignment="1" applyProtection="1">
      <alignment horizontal="center"/>
    </xf>
    <xf numFmtId="164" fontId="3" fillId="4" borderId="4" xfId="1" applyFont="1" applyFill="1" applyBorder="1" applyAlignment="1" applyProtection="1">
      <alignment horizontal="right"/>
    </xf>
    <xf numFmtId="167" fontId="3" fillId="4" borderId="4" xfId="4" applyNumberFormat="1" applyFont="1" applyFill="1" applyBorder="1" applyProtection="1"/>
    <xf numFmtId="165" fontId="3" fillId="4" borderId="22" xfId="1" applyNumberFormat="1" applyFont="1" applyFill="1" applyBorder="1" applyAlignment="1" applyProtection="1">
      <alignment horizontal="left"/>
    </xf>
    <xf numFmtId="165" fontId="3" fillId="8" borderId="21" xfId="1" applyNumberFormat="1" applyFont="1" applyFill="1" applyBorder="1" applyAlignment="1" applyProtection="1">
      <alignment horizontal="center"/>
    </xf>
    <xf numFmtId="14" fontId="3" fillId="8" borderId="4" xfId="1" applyNumberFormat="1" applyFont="1" applyFill="1" applyBorder="1" applyAlignment="1" applyProtection="1">
      <alignment horizontal="center"/>
    </xf>
    <xf numFmtId="14" fontId="3" fillId="8" borderId="22" xfId="1" applyNumberFormat="1" applyFont="1" applyFill="1" applyBorder="1" applyAlignment="1" applyProtection="1">
      <alignment horizontal="center"/>
    </xf>
    <xf numFmtId="165" fontId="3" fillId="7" borderId="21" xfId="1" applyNumberFormat="1" applyFont="1" applyFill="1" applyBorder="1" applyAlignment="1" applyProtection="1">
      <alignment horizontal="left"/>
    </xf>
    <xf numFmtId="165" fontId="3" fillId="7" borderId="4" xfId="1" applyNumberFormat="1" applyFont="1" applyFill="1" applyBorder="1" applyAlignment="1" applyProtection="1">
      <alignment horizontal="left"/>
    </xf>
    <xf numFmtId="0" fontId="3" fillId="7" borderId="4" xfId="1" applyNumberFormat="1" applyFont="1" applyFill="1" applyBorder="1" applyAlignment="1" applyProtection="1">
      <alignment horizontal="left"/>
    </xf>
    <xf numFmtId="14" fontId="3" fillId="7" borderId="4" xfId="1" applyNumberFormat="1" applyFont="1" applyFill="1" applyBorder="1" applyAlignment="1" applyProtection="1">
      <alignment horizontal="right"/>
    </xf>
    <xf numFmtId="165" fontId="3" fillId="7" borderId="22" xfId="1" applyNumberFormat="1" applyFont="1" applyFill="1" applyBorder="1" applyAlignment="1" applyProtection="1">
      <alignment horizontal="left"/>
    </xf>
    <xf numFmtId="0" fontId="0" fillId="4" borderId="0" xfId="0" applyFill="1" applyAlignment="1">
      <alignment horizontal="left"/>
    </xf>
    <xf numFmtId="0" fontId="0" fillId="9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6" fillId="3" borderId="14" xfId="0" applyFont="1" applyFill="1" applyBorder="1" applyAlignment="1" applyProtection="1">
      <alignment horizontal="right"/>
      <protection locked="0"/>
    </xf>
    <xf numFmtId="0" fontId="37" fillId="6" borderId="0" xfId="0" applyFont="1" applyFill="1" applyAlignment="1" applyProtection="1">
      <alignment horizontal="right"/>
      <protection locked="0"/>
    </xf>
    <xf numFmtId="0" fontId="37" fillId="6" borderId="0" xfId="0" applyFon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38" fillId="5" borderId="23" xfId="0" applyFont="1" applyFill="1" applyBorder="1" applyAlignment="1" applyProtection="1">
      <alignment horizontal="right"/>
      <protection locked="0"/>
    </xf>
    <xf numFmtId="0" fontId="25" fillId="10" borderId="23" xfId="0" applyFont="1" applyFill="1" applyBorder="1" applyAlignment="1" applyProtection="1">
      <alignment horizontal="left"/>
      <protection locked="0"/>
    </xf>
    <xf numFmtId="0" fontId="25" fillId="10" borderId="0" xfId="0" applyFont="1" applyFill="1" applyAlignment="1" applyProtection="1">
      <alignment horizontal="left"/>
      <protection locked="0"/>
    </xf>
    <xf numFmtId="0" fontId="25" fillId="10" borderId="0" xfId="0" applyFont="1" applyFill="1" applyAlignment="1" applyProtection="1">
      <alignment horizontal="center"/>
      <protection locked="0"/>
    </xf>
    <xf numFmtId="0" fontId="25" fillId="10" borderId="24" xfId="0" applyFont="1" applyFill="1" applyBorder="1" applyAlignment="1" applyProtection="1">
      <alignment horizontal="left"/>
      <protection locked="0"/>
    </xf>
    <xf numFmtId="14" fontId="39" fillId="10" borderId="24" xfId="0" applyNumberFormat="1" applyFont="1" applyFill="1" applyBorder="1" applyAlignment="1" applyProtection="1">
      <alignment horizontal="left"/>
      <protection locked="0"/>
    </xf>
    <xf numFmtId="14" fontId="39" fillId="10" borderId="0" xfId="0" applyNumberFormat="1" applyFont="1" applyFill="1" applyAlignment="1" applyProtection="1">
      <alignment horizontal="left"/>
      <protection locked="0"/>
    </xf>
    <xf numFmtId="14" fontId="39" fillId="10" borderId="0" xfId="0" applyNumberFormat="1" applyFont="1" applyFill="1" applyAlignment="1" applyProtection="1">
      <alignment horizontal="center"/>
      <protection locked="0"/>
    </xf>
    <xf numFmtId="0" fontId="33" fillId="4" borderId="0" xfId="0" applyFont="1" applyFill="1" applyProtection="1">
      <protection locked="0"/>
    </xf>
    <xf numFmtId="0" fontId="39" fillId="10" borderId="24" xfId="0" applyFont="1" applyFill="1" applyBorder="1" applyAlignment="1" applyProtection="1">
      <alignment horizontal="left"/>
      <protection locked="0"/>
    </xf>
    <xf numFmtId="0" fontId="39" fillId="10" borderId="0" xfId="0" applyFont="1" applyFill="1" applyAlignment="1" applyProtection="1">
      <alignment horizontal="left"/>
      <protection locked="0"/>
    </xf>
    <xf numFmtId="0" fontId="39" fillId="10" borderId="0" xfId="0" applyFont="1" applyFill="1" applyAlignment="1" applyProtection="1">
      <alignment horizontal="center"/>
      <protection locked="0"/>
    </xf>
    <xf numFmtId="164" fontId="39" fillId="10" borderId="24" xfId="1" applyFont="1" applyFill="1" applyBorder="1" applyAlignment="1" applyProtection="1">
      <alignment horizontal="left"/>
      <protection locked="0"/>
    </xf>
    <xf numFmtId="164" fontId="39" fillId="10" borderId="0" xfId="1" applyFont="1" applyFill="1" applyBorder="1" applyAlignment="1" applyProtection="1">
      <alignment horizontal="left"/>
      <protection locked="0"/>
    </xf>
    <xf numFmtId="164" fontId="39" fillId="10" borderId="0" xfId="1" applyFont="1" applyFill="1" applyBorder="1" applyAlignment="1" applyProtection="1">
      <alignment horizontal="center"/>
      <protection locked="0"/>
    </xf>
    <xf numFmtId="0" fontId="0" fillId="4" borderId="15" xfId="0" applyFill="1" applyBorder="1" applyAlignment="1" applyProtection="1">
      <alignment horizontal="left"/>
      <protection locked="0"/>
    </xf>
    <xf numFmtId="0" fontId="0" fillId="4" borderId="0" xfId="0" applyFill="1" applyAlignment="1" applyProtection="1">
      <alignment horizontal="left"/>
      <protection locked="0"/>
    </xf>
    <xf numFmtId="0" fontId="0" fillId="4" borderId="0" xfId="0" applyFill="1" applyAlignment="1" applyProtection="1">
      <alignment horizontal="center"/>
      <protection locked="0"/>
    </xf>
    <xf numFmtId="0" fontId="40" fillId="10" borderId="24" xfId="0" applyFont="1" applyFill="1" applyBorder="1" applyAlignment="1" applyProtection="1">
      <alignment horizontal="left"/>
      <protection locked="0"/>
    </xf>
    <xf numFmtId="0" fontId="40" fillId="10" borderId="0" xfId="0" applyFont="1" applyFill="1" applyAlignment="1" applyProtection="1">
      <alignment horizontal="left"/>
      <protection locked="0"/>
    </xf>
    <xf numFmtId="0" fontId="40" fillId="10" borderId="0" xfId="0" applyFont="1" applyFill="1" applyAlignment="1" applyProtection="1">
      <alignment horizontal="center"/>
      <protection locked="0"/>
    </xf>
    <xf numFmtId="0" fontId="26" fillId="4" borderId="0" xfId="0" applyFont="1" applyFill="1" applyProtection="1">
      <protection locked="0"/>
    </xf>
    <xf numFmtId="14" fontId="25" fillId="10" borderId="24" xfId="0" applyNumberFormat="1" applyFont="1" applyFill="1" applyBorder="1" applyAlignment="1" applyProtection="1">
      <alignment horizontal="left"/>
      <protection locked="0"/>
    </xf>
    <xf numFmtId="14" fontId="25" fillId="10" borderId="0" xfId="0" applyNumberFormat="1" applyFont="1" applyFill="1" applyAlignment="1" applyProtection="1">
      <alignment horizontal="left"/>
      <protection locked="0"/>
    </xf>
    <xf numFmtId="14" fontId="25" fillId="10" borderId="0" xfId="0" applyNumberFormat="1" applyFont="1" applyFill="1" applyAlignment="1" applyProtection="1">
      <alignment horizontal="center"/>
      <protection locked="0"/>
    </xf>
    <xf numFmtId="0" fontId="40" fillId="10" borderId="25" xfId="0" applyFont="1" applyFill="1" applyBorder="1" applyAlignment="1" applyProtection="1">
      <alignment horizontal="left"/>
      <protection locked="0"/>
    </xf>
    <xf numFmtId="0" fontId="25" fillId="0" borderId="0" xfId="0" applyFont="1"/>
    <xf numFmtId="0" fontId="0" fillId="4" borderId="0" xfId="0" applyFill="1" applyAlignment="1">
      <alignment vertical="center" wrapText="1"/>
    </xf>
    <xf numFmtId="0" fontId="41" fillId="0" borderId="26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1" fillId="0" borderId="14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top" wrapText="1"/>
    </xf>
    <xf numFmtId="0" fontId="42" fillId="0" borderId="0" xfId="0" applyFont="1" applyAlignment="1">
      <alignment vertical="top" wrapText="1"/>
    </xf>
    <xf numFmtId="0" fontId="43" fillId="0" borderId="0" xfId="0" applyFont="1" applyAlignment="1">
      <alignment vertical="top" wrapText="1"/>
    </xf>
    <xf numFmtId="0" fontId="42" fillId="0" borderId="0" xfId="0" applyFont="1" applyAlignment="1">
      <alignment horizontal="center" vertical="top" wrapText="1"/>
    </xf>
    <xf numFmtId="14" fontId="42" fillId="0" borderId="0" xfId="0" applyNumberFormat="1" applyFont="1" applyAlignment="1">
      <alignment horizontal="center" vertical="top" wrapText="1"/>
    </xf>
    <xf numFmtId="0" fontId="44" fillId="4" borderId="0" xfId="0" applyFont="1" applyFill="1"/>
    <xf numFmtId="0" fontId="45" fillId="0" borderId="0" xfId="0" applyFont="1" applyAlignment="1">
      <alignment vertical="top" wrapText="1"/>
    </xf>
    <xf numFmtId="0" fontId="45" fillId="0" borderId="0" xfId="0" applyFont="1" applyAlignment="1">
      <alignment horizontal="center" vertical="top" wrapText="1"/>
    </xf>
    <xf numFmtId="14" fontId="45" fillId="0" borderId="0" xfId="0" applyNumberFormat="1" applyFont="1" applyAlignment="1">
      <alignment horizontal="center" vertical="top" wrapText="1"/>
    </xf>
    <xf numFmtId="0" fontId="44" fillId="0" borderId="0" xfId="0" applyFont="1"/>
    <xf numFmtId="15" fontId="0" fillId="0" borderId="0" xfId="0" applyNumberFormat="1"/>
    <xf numFmtId="14" fontId="0" fillId="0" borderId="0" xfId="0" applyNumberFormat="1"/>
    <xf numFmtId="0" fontId="46" fillId="4" borderId="0" xfId="0" applyFont="1" applyFill="1"/>
    <xf numFmtId="0" fontId="46" fillId="0" borderId="0" xfId="0" applyFont="1"/>
    <xf numFmtId="14" fontId="46" fillId="0" borderId="0" xfId="0" applyNumberFormat="1" applyFont="1"/>
    <xf numFmtId="0" fontId="47" fillId="4" borderId="0" xfId="0" applyFont="1" applyFill="1"/>
    <xf numFmtId="0" fontId="47" fillId="0" borderId="0" xfId="0" applyFont="1"/>
    <xf numFmtId="0" fontId="47" fillId="0" borderId="13" xfId="0" applyFont="1" applyBorder="1"/>
    <xf numFmtId="4" fontId="7" fillId="0" borderId="0" xfId="2" applyNumberFormat="1" applyFont="1" applyBorder="1" applyAlignment="1" applyProtection="1">
      <alignment horizontal="right"/>
      <protection locked="0"/>
    </xf>
    <xf numFmtId="165" fontId="7" fillId="0" borderId="0" xfId="3" applyNumberFormat="1" applyFont="1" applyAlignment="1" applyProtection="1">
      <alignment horizontal="center"/>
      <protection locked="0"/>
    </xf>
    <xf numFmtId="167" fontId="27" fillId="0" borderId="0" xfId="4" applyNumberFormat="1" applyFont="1" applyBorder="1" applyProtection="1"/>
    <xf numFmtId="164" fontId="3" fillId="0" borderId="0" xfId="2" applyFont="1" applyBorder="1" applyAlignment="1" applyProtection="1">
      <alignment horizontal="left"/>
    </xf>
    <xf numFmtId="164" fontId="3" fillId="0" borderId="0" xfId="1" applyFont="1" applyBorder="1" applyProtection="1"/>
    <xf numFmtId="164" fontId="27" fillId="0" borderId="0" xfId="1" applyFont="1" applyBorder="1" applyProtection="1"/>
    <xf numFmtId="9" fontId="27" fillId="0" borderId="0" xfId="4" applyFont="1" applyBorder="1" applyProtection="1"/>
    <xf numFmtId="164" fontId="27" fillId="0" borderId="0" xfId="1" applyFont="1" applyBorder="1" applyAlignment="1" applyProtection="1">
      <alignment horizontal="right" indent="2"/>
    </xf>
    <xf numFmtId="164" fontId="27" fillId="0" borderId="0" xfId="2" applyFont="1" applyBorder="1" applyProtection="1"/>
    <xf numFmtId="0" fontId="27" fillId="0" borderId="0" xfId="3" applyFont="1" applyAlignment="1">
      <alignment horizontal="left"/>
    </xf>
    <xf numFmtId="0" fontId="3" fillId="0" borderId="13" xfId="3" applyFont="1" applyBorder="1" applyAlignment="1">
      <alignment horizontal="left"/>
    </xf>
    <xf numFmtId="0" fontId="0" fillId="9" borderId="6" xfId="0" applyFill="1" applyBorder="1" applyAlignment="1">
      <alignment horizontal="right"/>
    </xf>
    <xf numFmtId="0" fontId="33" fillId="9" borderId="6" xfId="0" applyFont="1" applyFill="1" applyBorder="1" applyAlignment="1">
      <alignment horizontal="right"/>
    </xf>
    <xf numFmtId="0" fontId="26" fillId="9" borderId="6" xfId="0" applyFont="1" applyFill="1" applyBorder="1" applyAlignment="1">
      <alignment horizontal="right"/>
    </xf>
    <xf numFmtId="0" fontId="26" fillId="9" borderId="21" xfId="0" applyFont="1" applyFill="1" applyBorder="1" applyAlignment="1">
      <alignment horizontal="right"/>
    </xf>
    <xf numFmtId="0" fontId="48" fillId="0" borderId="0" xfId="0" applyFont="1"/>
    <xf numFmtId="0" fontId="49" fillId="0" borderId="0" xfId="0" applyFont="1"/>
    <xf numFmtId="0" fontId="49" fillId="0" borderId="0" xfId="0" applyFont="1" applyAlignment="1">
      <alignment horizontal="left"/>
    </xf>
    <xf numFmtId="167" fontId="49" fillId="0" borderId="0" xfId="4" applyNumberFormat="1" applyFont="1" applyAlignment="1">
      <alignment horizontal="left"/>
    </xf>
    <xf numFmtId="0" fontId="49" fillId="0" borderId="0" xfId="0" applyFont="1" applyAlignment="1">
      <alignment vertical="top" wrapText="1"/>
    </xf>
    <xf numFmtId="0" fontId="50" fillId="0" borderId="0" xfId="0" applyFont="1"/>
    <xf numFmtId="0" fontId="51" fillId="0" borderId="0" xfId="0" applyFont="1" applyAlignment="1">
      <alignment vertical="top" wrapText="1"/>
    </xf>
    <xf numFmtId="4" fontId="51" fillId="0" borderId="0" xfId="0" applyNumberFormat="1" applyFont="1" applyAlignment="1">
      <alignment vertical="top" wrapText="1"/>
    </xf>
    <xf numFmtId="168" fontId="49" fillId="0" borderId="0" xfId="0" applyNumberFormat="1" applyFont="1" applyAlignment="1">
      <alignment horizontal="left"/>
    </xf>
    <xf numFmtId="169" fontId="48" fillId="0" borderId="7" xfId="0" applyNumberFormat="1" applyFont="1" applyBorder="1" applyAlignment="1">
      <alignment vertical="top" wrapText="1"/>
    </xf>
    <xf numFmtId="164" fontId="48" fillId="0" borderId="7" xfId="1" applyFont="1" applyBorder="1" applyAlignment="1">
      <alignment vertical="top" wrapText="1"/>
    </xf>
    <xf numFmtId="0" fontId="49" fillId="0" borderId="7" xfId="0" applyFont="1" applyBorder="1"/>
    <xf numFmtId="0" fontId="49" fillId="0" borderId="27" xfId="0" applyFont="1" applyBorder="1"/>
    <xf numFmtId="0" fontId="50" fillId="0" borderId="7" xfId="0" applyFont="1" applyBorder="1" applyAlignment="1">
      <alignment horizontal="right"/>
    </xf>
    <xf numFmtId="0" fontId="50" fillId="0" borderId="7" xfId="0" applyFont="1" applyBorder="1"/>
    <xf numFmtId="0" fontId="52" fillId="0" borderId="0" xfId="0" applyFont="1"/>
    <xf numFmtId="168" fontId="48" fillId="0" borderId="27" xfId="0" applyNumberFormat="1" applyFont="1" applyBorder="1" applyAlignment="1">
      <alignment horizontal="left"/>
    </xf>
    <xf numFmtId="169" fontId="48" fillId="0" borderId="0" xfId="0" applyNumberFormat="1" applyFont="1" applyAlignment="1">
      <alignment vertical="top" wrapText="1"/>
    </xf>
    <xf numFmtId="0" fontId="53" fillId="0" borderId="0" xfId="0" applyFont="1" applyAlignment="1">
      <alignment horizontal="center"/>
    </xf>
    <xf numFmtId="164" fontId="3" fillId="3" borderId="0" xfId="2" applyFont="1" applyFill="1" applyProtection="1"/>
    <xf numFmtId="164" fontId="3" fillId="3" borderId="0" xfId="1" applyFont="1" applyFill="1" applyProtection="1"/>
    <xf numFmtId="0" fontId="3" fillId="3" borderId="8" xfId="3" applyFont="1" applyFill="1" applyBorder="1" applyAlignment="1">
      <alignment horizontal="center" vertical="center" wrapText="1"/>
    </xf>
    <xf numFmtId="164" fontId="3" fillId="3" borderId="10" xfId="2" applyFont="1" applyFill="1" applyBorder="1" applyAlignment="1" applyProtection="1">
      <alignment horizontal="center" vertical="center" wrapText="1"/>
    </xf>
    <xf numFmtId="164" fontId="3" fillId="3" borderId="9" xfId="2" applyFont="1" applyFill="1" applyBorder="1" applyAlignment="1" applyProtection="1">
      <alignment horizontal="center"/>
    </xf>
    <xf numFmtId="164" fontId="3" fillId="3" borderId="0" xfId="2" applyFont="1" applyFill="1" applyBorder="1" applyAlignment="1" applyProtection="1">
      <alignment horizontal="center"/>
    </xf>
    <xf numFmtId="164" fontId="14" fillId="3" borderId="0" xfId="1" applyFont="1" applyFill="1" applyBorder="1" applyAlignment="1" applyProtection="1">
      <alignment horizontal="right" indent="2"/>
    </xf>
    <xf numFmtId="164" fontId="14" fillId="3" borderId="0" xfId="2" applyFont="1" applyFill="1" applyBorder="1" applyAlignment="1" applyProtection="1">
      <alignment horizontal="right" indent="2"/>
    </xf>
    <xf numFmtId="164" fontId="27" fillId="3" borderId="0" xfId="2" applyFont="1" applyFill="1" applyBorder="1" applyAlignment="1" applyProtection="1">
      <alignment horizontal="right" indent="2"/>
    </xf>
    <xf numFmtId="9" fontId="14" fillId="3" borderId="0" xfId="4" applyFont="1" applyFill="1" applyBorder="1" applyAlignment="1" applyProtection="1">
      <alignment horizontal="center"/>
    </xf>
    <xf numFmtId="164" fontId="14" fillId="3" borderId="0" xfId="1" applyFont="1" applyFill="1" applyBorder="1" applyAlignment="1" applyProtection="1">
      <alignment horizontal="center"/>
    </xf>
    <xf numFmtId="164" fontId="27" fillId="3" borderId="0" xfId="1" applyFont="1" applyFill="1" applyBorder="1" applyAlignment="1" applyProtection="1">
      <alignment horizontal="right" indent="2"/>
    </xf>
    <xf numFmtId="164" fontId="3" fillId="3" borderId="0" xfId="2" applyFont="1" applyFill="1" applyBorder="1" applyProtection="1"/>
    <xf numFmtId="164" fontId="27" fillId="3" borderId="13" xfId="1" applyFont="1" applyFill="1" applyBorder="1" applyAlignment="1" applyProtection="1">
      <alignment horizontal="right" indent="2"/>
    </xf>
    <xf numFmtId="164" fontId="3" fillId="3" borderId="0" xfId="2" applyFont="1" applyFill="1"/>
    <xf numFmtId="0" fontId="3" fillId="3" borderId="0" xfId="3" applyFont="1" applyFill="1"/>
    <xf numFmtId="164" fontId="5" fillId="3" borderId="0" xfId="2" applyFont="1" applyFill="1" applyAlignment="1">
      <alignment horizontal="center"/>
    </xf>
    <xf numFmtId="4" fontId="3" fillId="3" borderId="0" xfId="2" applyNumberFormat="1" applyFont="1" applyFill="1"/>
    <xf numFmtId="164" fontId="3" fillId="3" borderId="0" xfId="2" applyFont="1" applyFill="1" applyAlignment="1">
      <alignment horizontal="center"/>
    </xf>
    <xf numFmtId="10" fontId="3" fillId="3" borderId="0" xfId="5" applyNumberFormat="1" applyFont="1" applyFill="1"/>
    <xf numFmtId="0" fontId="0" fillId="11" borderId="0" xfId="0" applyFill="1"/>
    <xf numFmtId="0" fontId="0" fillId="11" borderId="6" xfId="0" applyFill="1" applyBorder="1"/>
    <xf numFmtId="0" fontId="0" fillId="11" borderId="15" xfId="0" applyFill="1" applyBorder="1"/>
    <xf numFmtId="0" fontId="25" fillId="9" borderId="28" xfId="0" applyFont="1" applyFill="1" applyBorder="1"/>
    <xf numFmtId="0" fontId="58" fillId="12" borderId="24" xfId="0" applyFont="1" applyFill="1" applyBorder="1"/>
    <xf numFmtId="0" fontId="25" fillId="9" borderId="29" xfId="0" applyFont="1" applyFill="1" applyBorder="1"/>
    <xf numFmtId="0" fontId="58" fillId="12" borderId="25" xfId="0" applyFont="1" applyFill="1" applyBorder="1"/>
    <xf numFmtId="4" fontId="7" fillId="0" borderId="13" xfId="2" applyNumberFormat="1" applyFont="1" applyBorder="1" applyAlignment="1" applyProtection="1">
      <alignment horizontal="right"/>
      <protection locked="0"/>
    </xf>
    <xf numFmtId="165" fontId="23" fillId="0" borderId="13" xfId="3" applyNumberFormat="1" applyFont="1" applyBorder="1" applyAlignment="1" applyProtection="1">
      <alignment horizontal="center"/>
      <protection locked="0"/>
    </xf>
    <xf numFmtId="0" fontId="54" fillId="11" borderId="6" xfId="0" applyFont="1" applyFill="1" applyBorder="1"/>
    <xf numFmtId="0" fontId="54" fillId="11" borderId="0" xfId="0" applyFont="1" applyFill="1"/>
    <xf numFmtId="0" fontId="54" fillId="11" borderId="15" xfId="0" applyFont="1" applyFill="1" applyBorder="1"/>
    <xf numFmtId="164" fontId="59" fillId="11" borderId="0" xfId="1" applyFont="1" applyFill="1" applyBorder="1" applyProtection="1"/>
    <xf numFmtId="0" fontId="54" fillId="11" borderId="6" xfId="0" applyFont="1" applyFill="1" applyBorder="1" applyAlignment="1">
      <alignment horizontal="right"/>
    </xf>
    <xf numFmtId="164" fontId="0" fillId="11" borderId="0" xfId="0" applyNumberFormat="1" applyFill="1"/>
    <xf numFmtId="164" fontId="0" fillId="11" borderId="15" xfId="0" applyNumberFormat="1" applyFill="1" applyBorder="1"/>
    <xf numFmtId="0" fontId="0" fillId="11" borderId="14" xfId="0" applyFill="1" applyBorder="1" applyAlignment="1">
      <alignment horizontal="right"/>
    </xf>
    <xf numFmtId="9" fontId="0" fillId="11" borderId="14" xfId="0" applyNumberFormat="1" applyFill="1" applyBorder="1"/>
    <xf numFmtId="0" fontId="33" fillId="11" borderId="0" xfId="0" applyFont="1" applyFill="1"/>
    <xf numFmtId="0" fontId="54" fillId="12" borderId="6" xfId="0" applyFont="1" applyFill="1" applyBorder="1"/>
    <xf numFmtId="0" fontId="54" fillId="12" borderId="6" xfId="0" applyFont="1" applyFill="1" applyBorder="1" applyAlignment="1">
      <alignment horizontal="right"/>
    </xf>
    <xf numFmtId="164" fontId="59" fillId="8" borderId="14" xfId="1" applyFont="1" applyFill="1" applyBorder="1" applyProtection="1">
      <protection locked="0"/>
    </xf>
    <xf numFmtId="164" fontId="54" fillId="13" borderId="14" xfId="1" applyFont="1" applyFill="1" applyBorder="1" applyAlignment="1" applyProtection="1">
      <alignment horizontal="center"/>
    </xf>
    <xf numFmtId="164" fontId="54" fillId="13" borderId="30" xfId="1" applyFont="1" applyFill="1" applyBorder="1" applyProtection="1"/>
    <xf numFmtId="164" fontId="54" fillId="13" borderId="31" xfId="1" applyFont="1" applyFill="1" applyBorder="1" applyAlignment="1" applyProtection="1">
      <alignment horizontal="center"/>
    </xf>
    <xf numFmtId="0" fontId="0" fillId="11" borderId="21" xfId="0" applyFill="1" applyBorder="1"/>
    <xf numFmtId="0" fontId="0" fillId="11" borderId="22" xfId="0" applyFill="1" applyBorder="1"/>
    <xf numFmtId="0" fontId="0" fillId="11" borderId="14" xfId="0" applyFill="1" applyBorder="1"/>
    <xf numFmtId="0" fontId="0" fillId="11" borderId="6" xfId="0" applyFill="1" applyBorder="1" applyAlignment="1">
      <alignment horizontal="right"/>
    </xf>
    <xf numFmtId="164" fontId="64" fillId="11" borderId="0" xfId="1" applyFont="1" applyFill="1" applyBorder="1" applyProtection="1"/>
    <xf numFmtId="0" fontId="12" fillId="11" borderId="32" xfId="0" applyFont="1" applyFill="1" applyBorder="1" applyAlignment="1">
      <alignment horizontal="right"/>
    </xf>
    <xf numFmtId="164" fontId="12" fillId="11" borderId="33" xfId="1" applyFont="1" applyFill="1" applyBorder="1" applyProtection="1"/>
    <xf numFmtId="164" fontId="54" fillId="11" borderId="0" xfId="1" applyFont="1" applyFill="1" applyBorder="1" applyProtection="1"/>
    <xf numFmtId="164" fontId="54" fillId="11" borderId="15" xfId="1" applyFont="1" applyFill="1" applyBorder="1" applyProtection="1"/>
    <xf numFmtId="167" fontId="54" fillId="12" borderId="34" xfId="4" applyNumberFormat="1" applyFont="1" applyFill="1" applyBorder="1" applyAlignment="1" applyProtection="1">
      <alignment horizontal="right"/>
    </xf>
    <xf numFmtId="164" fontId="54" fillId="12" borderId="30" xfId="1" applyFont="1" applyFill="1" applyBorder="1" applyProtection="1"/>
    <xf numFmtId="164" fontId="54" fillId="12" borderId="35" xfId="1" applyFont="1" applyFill="1" applyBorder="1" applyProtection="1"/>
    <xf numFmtId="0" fontId="54" fillId="11" borderId="0" xfId="0" applyFont="1" applyFill="1" applyAlignment="1">
      <alignment horizontal="right"/>
    </xf>
    <xf numFmtId="164" fontId="64" fillId="11" borderId="0" xfId="1" applyFont="1" applyFill="1" applyBorder="1"/>
    <xf numFmtId="10" fontId="64" fillId="11" borderId="0" xfId="4" applyNumberFormat="1" applyFont="1" applyFill="1" applyBorder="1"/>
    <xf numFmtId="164" fontId="64" fillId="11" borderId="15" xfId="1" applyFont="1" applyFill="1" applyBorder="1" applyProtection="1"/>
    <xf numFmtId="164" fontId="12" fillId="11" borderId="36" xfId="1" applyFont="1" applyFill="1" applyBorder="1" applyProtection="1"/>
    <xf numFmtId="0" fontId="0" fillId="11" borderId="4" xfId="0" applyFill="1" applyBorder="1"/>
    <xf numFmtId="0" fontId="62" fillId="11" borderId="0" xfId="0" applyFont="1" applyFill="1" applyAlignment="1">
      <alignment horizontal="right"/>
    </xf>
    <xf numFmtId="164" fontId="1" fillId="11" borderId="0" xfId="1" applyFont="1" applyFill="1" applyBorder="1" applyProtection="1"/>
    <xf numFmtId="164" fontId="1" fillId="11" borderId="15" xfId="1" applyFont="1" applyFill="1" applyBorder="1" applyProtection="1"/>
    <xf numFmtId="164" fontId="1" fillId="11" borderId="0" xfId="1" applyFont="1" applyFill="1" applyBorder="1"/>
    <xf numFmtId="10" fontId="1" fillId="11" borderId="0" xfId="4" applyNumberFormat="1" applyFont="1" applyFill="1" applyBorder="1"/>
    <xf numFmtId="0" fontId="63" fillId="14" borderId="6" xfId="0" quotePrefix="1" applyFont="1" applyFill="1" applyBorder="1" applyAlignment="1">
      <alignment horizontal="center"/>
    </xf>
    <xf numFmtId="0" fontId="66" fillId="11" borderId="0" xfId="0" applyFont="1" applyFill="1"/>
    <xf numFmtId="164" fontId="66" fillId="11" borderId="0" xfId="1" applyFont="1" applyFill="1"/>
    <xf numFmtId="0" fontId="67" fillId="11" borderId="0" xfId="0" applyFont="1" applyFill="1"/>
    <xf numFmtId="164" fontId="67" fillId="11" borderId="0" xfId="1" applyFont="1" applyFill="1"/>
    <xf numFmtId="0" fontId="65" fillId="15" borderId="9" xfId="0" applyFont="1" applyFill="1" applyBorder="1" applyAlignment="1">
      <alignment horizontal="center"/>
    </xf>
    <xf numFmtId="164" fontId="65" fillId="15" borderId="9" xfId="1" applyFont="1" applyFill="1" applyBorder="1"/>
    <xf numFmtId="0" fontId="65" fillId="9" borderId="1" xfId="0" applyFont="1" applyFill="1" applyBorder="1" applyAlignment="1">
      <alignment horizontal="center"/>
    </xf>
    <xf numFmtId="0" fontId="65" fillId="15" borderId="1" xfId="0" applyFont="1" applyFill="1" applyBorder="1" applyAlignment="1">
      <alignment horizontal="center"/>
    </xf>
    <xf numFmtId="0" fontId="68" fillId="11" borderId="0" xfId="0" applyFont="1" applyFill="1"/>
    <xf numFmtId="164" fontId="68" fillId="11" borderId="0" xfId="1" applyFont="1" applyFill="1"/>
    <xf numFmtId="164" fontId="65" fillId="15" borderId="9" xfId="1" applyFont="1" applyFill="1" applyBorder="1" applyAlignment="1">
      <alignment horizontal="center"/>
    </xf>
    <xf numFmtId="164" fontId="65" fillId="8" borderId="14" xfId="1" applyFont="1" applyFill="1" applyBorder="1"/>
    <xf numFmtId="0" fontId="65" fillId="3" borderId="14" xfId="0" applyFont="1" applyFill="1" applyBorder="1"/>
    <xf numFmtId="0" fontId="65" fillId="3" borderId="14" xfId="0" applyFont="1" applyFill="1" applyBorder="1" applyAlignment="1">
      <alignment horizontal="center"/>
    </xf>
    <xf numFmtId="164" fontId="69" fillId="11" borderId="0" xfId="1" applyFont="1" applyFill="1"/>
    <xf numFmtId="164" fontId="70" fillId="11" borderId="0" xfId="1" applyFont="1" applyFill="1"/>
    <xf numFmtId="164" fontId="0" fillId="11" borderId="0" xfId="1" applyFont="1" applyFill="1"/>
    <xf numFmtId="0" fontId="71" fillId="18" borderId="6" xfId="0" applyFont="1" applyFill="1" applyBorder="1"/>
    <xf numFmtId="0" fontId="73" fillId="19" borderId="14" xfId="0" applyFont="1" applyFill="1" applyBorder="1" applyAlignment="1">
      <alignment horizontal="center"/>
    </xf>
    <xf numFmtId="0" fontId="75" fillId="18" borderId="14" xfId="0" applyFont="1" applyFill="1" applyBorder="1" applyAlignment="1">
      <alignment vertical="center"/>
    </xf>
    <xf numFmtId="164" fontId="75" fillId="19" borderId="14" xfId="1" applyFont="1" applyFill="1" applyBorder="1" applyAlignment="1">
      <alignment horizontal="right" vertical="center"/>
    </xf>
    <xf numFmtId="164" fontId="76" fillId="20" borderId="14" xfId="1" applyFont="1" applyFill="1" applyBorder="1" applyAlignment="1">
      <alignment horizontal="left" vertical="center"/>
    </xf>
    <xf numFmtId="164" fontId="65" fillId="9" borderId="52" xfId="1" applyFont="1" applyFill="1" applyBorder="1"/>
    <xf numFmtId="164" fontId="77" fillId="20" borderId="14" xfId="1" applyFont="1" applyFill="1" applyBorder="1"/>
    <xf numFmtId="164" fontId="65" fillId="15" borderId="52" xfId="1" applyFont="1" applyFill="1" applyBorder="1"/>
    <xf numFmtId="164" fontId="78" fillId="11" borderId="0" xfId="1" applyFont="1" applyFill="1"/>
    <xf numFmtId="164" fontId="58" fillId="20" borderId="14" xfId="1" applyFont="1" applyFill="1" applyBorder="1"/>
    <xf numFmtId="164" fontId="74" fillId="20" borderId="14" xfId="1" applyFont="1" applyFill="1" applyBorder="1"/>
    <xf numFmtId="0" fontId="79" fillId="11" borderId="0" xfId="0" applyFont="1" applyFill="1" applyAlignment="1">
      <alignment horizontal="right"/>
    </xf>
    <xf numFmtId="164" fontId="54" fillId="19" borderId="1" xfId="1" applyFont="1" applyFill="1" applyBorder="1" applyProtection="1"/>
    <xf numFmtId="164" fontId="81" fillId="19" borderId="1" xfId="1" applyFont="1" applyFill="1" applyBorder="1" applyProtection="1"/>
    <xf numFmtId="0" fontId="0" fillId="21" borderId="0" xfId="0" applyFill="1"/>
    <xf numFmtId="0" fontId="66" fillId="21" borderId="0" xfId="0" applyFont="1" applyFill="1"/>
    <xf numFmtId="164" fontId="66" fillId="21" borderId="0" xfId="1" applyFont="1" applyFill="1"/>
    <xf numFmtId="164" fontId="69" fillId="21" borderId="0" xfId="1" applyFont="1" applyFill="1"/>
    <xf numFmtId="0" fontId="33" fillId="21" borderId="0" xfId="0" applyFont="1" applyFill="1"/>
    <xf numFmtId="0" fontId="67" fillId="21" borderId="0" xfId="0" applyFont="1" applyFill="1"/>
    <xf numFmtId="164" fontId="67" fillId="21" borderId="0" xfId="1" applyFont="1" applyFill="1"/>
    <xf numFmtId="164" fontId="70" fillId="21" borderId="0" xfId="1" applyFont="1" applyFill="1"/>
    <xf numFmtId="164" fontId="78" fillId="21" borderId="0" xfId="1" applyFont="1" applyFill="1"/>
    <xf numFmtId="164" fontId="0" fillId="21" borderId="0" xfId="1" applyFont="1" applyFill="1"/>
    <xf numFmtId="0" fontId="0" fillId="21" borderId="15" xfId="0" applyFill="1" applyBorder="1"/>
    <xf numFmtId="0" fontId="54" fillId="21" borderId="6" xfId="0" applyFont="1" applyFill="1" applyBorder="1"/>
    <xf numFmtId="164" fontId="59" fillId="21" borderId="0" xfId="1" applyFont="1" applyFill="1" applyBorder="1" applyProtection="1"/>
    <xf numFmtId="0" fontId="54" fillId="21" borderId="0" xfId="0" applyFont="1" applyFill="1"/>
    <xf numFmtId="0" fontId="54" fillId="21" borderId="15" xfId="0" applyFont="1" applyFill="1" applyBorder="1"/>
    <xf numFmtId="0" fontId="54" fillId="21" borderId="6" xfId="0" applyFont="1" applyFill="1" applyBorder="1" applyAlignment="1">
      <alignment horizontal="right"/>
    </xf>
    <xf numFmtId="164" fontId="54" fillId="21" borderId="0" xfId="1" applyFont="1" applyFill="1" applyBorder="1" applyProtection="1"/>
    <xf numFmtId="164" fontId="54" fillId="21" borderId="15" xfId="1" applyFont="1" applyFill="1" applyBorder="1" applyProtection="1"/>
    <xf numFmtId="0" fontId="54" fillId="21" borderId="0" xfId="0" applyFont="1" applyFill="1" applyAlignment="1">
      <alignment horizontal="right"/>
    </xf>
    <xf numFmtId="0" fontId="79" fillId="21" borderId="0" xfId="0" applyFont="1" applyFill="1" applyAlignment="1">
      <alignment horizontal="right"/>
    </xf>
    <xf numFmtId="0" fontId="86" fillId="21" borderId="9" xfId="0" applyFont="1" applyFill="1" applyBorder="1" applyAlignment="1">
      <alignment horizontal="center"/>
    </xf>
    <xf numFmtId="164" fontId="86" fillId="21" borderId="9" xfId="1" applyFont="1" applyFill="1" applyBorder="1"/>
    <xf numFmtId="0" fontId="68" fillId="21" borderId="0" xfId="0" applyFont="1" applyFill="1"/>
    <xf numFmtId="164" fontId="68" fillId="21" borderId="0" xfId="1" applyFont="1" applyFill="1"/>
    <xf numFmtId="164" fontId="86" fillId="21" borderId="9" xfId="1" applyFont="1" applyFill="1" applyBorder="1" applyAlignment="1">
      <alignment horizontal="center"/>
    </xf>
    <xf numFmtId="0" fontId="80" fillId="21" borderId="0" xfId="0" applyFont="1" applyFill="1"/>
    <xf numFmtId="0" fontId="80" fillId="21" borderId="6" xfId="0" applyFont="1" applyFill="1" applyBorder="1"/>
    <xf numFmtId="164" fontId="80" fillId="21" borderId="0" xfId="0" applyNumberFormat="1" applyFont="1" applyFill="1"/>
    <xf numFmtId="164" fontId="80" fillId="21" borderId="15" xfId="0" applyNumberFormat="1" applyFont="1" applyFill="1" applyBorder="1"/>
    <xf numFmtId="0" fontId="80" fillId="21" borderId="6" xfId="0" applyFont="1" applyFill="1" applyBorder="1" applyAlignment="1">
      <alignment horizontal="right"/>
    </xf>
    <xf numFmtId="164" fontId="87" fillId="21" borderId="0" xfId="1" applyFont="1" applyFill="1" applyBorder="1" applyProtection="1"/>
    <xf numFmtId="164" fontId="87" fillId="21" borderId="15" xfId="1" applyFont="1" applyFill="1" applyBorder="1" applyProtection="1"/>
    <xf numFmtId="0" fontId="88" fillId="21" borderId="32" xfId="0" applyFont="1" applyFill="1" applyBorder="1" applyAlignment="1">
      <alignment horizontal="right"/>
    </xf>
    <xf numFmtId="164" fontId="88" fillId="21" borderId="33" xfId="1" applyFont="1" applyFill="1" applyBorder="1" applyProtection="1"/>
    <xf numFmtId="164" fontId="88" fillId="21" borderId="36" xfId="1" applyFont="1" applyFill="1" applyBorder="1" applyProtection="1"/>
    <xf numFmtId="0" fontId="84" fillId="21" borderId="6" xfId="0" applyFont="1" applyFill="1" applyBorder="1" applyAlignment="1">
      <alignment horizontal="right"/>
    </xf>
    <xf numFmtId="164" fontId="87" fillId="21" borderId="0" xfId="1" applyFont="1" applyFill="1" applyBorder="1"/>
    <xf numFmtId="0" fontId="80" fillId="21" borderId="15" xfId="0" applyFont="1" applyFill="1" applyBorder="1"/>
    <xf numFmtId="10" fontId="87" fillId="21" borderId="0" xfId="4" applyNumberFormat="1" applyFont="1" applyFill="1" applyBorder="1"/>
    <xf numFmtId="0" fontId="80" fillId="21" borderId="14" xfId="0" applyFont="1" applyFill="1" applyBorder="1" applyAlignment="1">
      <alignment horizontal="right"/>
    </xf>
    <xf numFmtId="9" fontId="80" fillId="21" borderId="14" xfId="0" applyNumberFormat="1" applyFont="1" applyFill="1" applyBorder="1"/>
    <xf numFmtId="0" fontId="80" fillId="21" borderId="14" xfId="0" applyFont="1" applyFill="1" applyBorder="1"/>
    <xf numFmtId="0" fontId="80" fillId="21" borderId="22" xfId="0" applyFont="1" applyFill="1" applyBorder="1"/>
    <xf numFmtId="0" fontId="80" fillId="21" borderId="21" xfId="0" applyFont="1" applyFill="1" applyBorder="1"/>
    <xf numFmtId="0" fontId="80" fillId="21" borderId="4" xfId="0" applyFont="1" applyFill="1" applyBorder="1"/>
    <xf numFmtId="0" fontId="73" fillId="19" borderId="43" xfId="0" applyFont="1" applyFill="1" applyBorder="1" applyAlignment="1">
      <alignment horizontal="center"/>
    </xf>
    <xf numFmtId="164" fontId="59" fillId="8" borderId="43" xfId="1" applyFont="1" applyFill="1" applyBorder="1" applyProtection="1">
      <protection locked="0"/>
    </xf>
    <xf numFmtId="0" fontId="81" fillId="22" borderId="19" xfId="0" applyFont="1" applyFill="1" applyBorder="1" applyAlignment="1">
      <alignment horizontal="right" vertical="center"/>
    </xf>
    <xf numFmtId="0" fontId="81" fillId="22" borderId="20" xfId="0" applyFont="1" applyFill="1" applyBorder="1" applyAlignment="1">
      <alignment horizontal="center" vertical="center"/>
    </xf>
    <xf numFmtId="0" fontId="81" fillId="22" borderId="18" xfId="0" applyFont="1" applyFill="1" applyBorder="1" applyAlignment="1">
      <alignment horizontal="center" vertical="center"/>
    </xf>
    <xf numFmtId="0" fontId="81" fillId="22" borderId="6" xfId="0" applyFont="1" applyFill="1" applyBorder="1" applyAlignment="1">
      <alignment horizontal="right"/>
    </xf>
    <xf numFmtId="164" fontId="81" fillId="19" borderId="24" xfId="1" applyFont="1" applyFill="1" applyBorder="1" applyProtection="1"/>
    <xf numFmtId="0" fontId="54" fillId="22" borderId="6" xfId="0" applyFont="1" applyFill="1" applyBorder="1" applyAlignment="1">
      <alignment horizontal="right"/>
    </xf>
    <xf numFmtId="164" fontId="54" fillId="19" borderId="24" xfId="1" applyFont="1" applyFill="1" applyBorder="1" applyProtection="1"/>
    <xf numFmtId="0" fontId="54" fillId="22" borderId="21" xfId="0" applyFont="1" applyFill="1" applyBorder="1" applyAlignment="1">
      <alignment horizontal="right"/>
    </xf>
    <xf numFmtId="0" fontId="75" fillId="22" borderId="14" xfId="0" applyFont="1" applyFill="1" applyBorder="1" applyAlignment="1">
      <alignment vertical="center"/>
    </xf>
    <xf numFmtId="0" fontId="65" fillId="22" borderId="14" xfId="0" applyFont="1" applyFill="1" applyBorder="1"/>
    <xf numFmtId="0" fontId="65" fillId="22" borderId="14" xfId="0" applyFont="1" applyFill="1" applyBorder="1" applyAlignment="1">
      <alignment horizontal="center"/>
    </xf>
    <xf numFmtId="164" fontId="76" fillId="22" borderId="14" xfId="1" applyFont="1" applyFill="1" applyBorder="1" applyAlignment="1">
      <alignment horizontal="left" vertical="center"/>
    </xf>
    <xf numFmtId="164" fontId="74" fillId="22" borderId="14" xfId="1" applyFont="1" applyFill="1" applyBorder="1"/>
    <xf numFmtId="164" fontId="77" fillId="22" borderId="14" xfId="1" applyFont="1" applyFill="1" applyBorder="1"/>
    <xf numFmtId="0" fontId="82" fillId="22" borderId="6" xfId="0" applyFont="1" applyFill="1" applyBorder="1" applyAlignment="1">
      <alignment horizontal="right"/>
    </xf>
    <xf numFmtId="164" fontId="54" fillId="23" borderId="14" xfId="1" applyFont="1" applyFill="1" applyBorder="1" applyAlignment="1" applyProtection="1">
      <alignment horizontal="center"/>
    </xf>
    <xf numFmtId="164" fontId="54" fillId="23" borderId="31" xfId="1" applyFont="1" applyFill="1" applyBorder="1" applyAlignment="1" applyProtection="1">
      <alignment horizontal="center"/>
    </xf>
    <xf numFmtId="167" fontId="84" fillId="21" borderId="34" xfId="4" applyNumberFormat="1" applyFont="1" applyFill="1" applyBorder="1" applyAlignment="1" applyProtection="1">
      <alignment horizontal="right"/>
    </xf>
    <xf numFmtId="164" fontId="84" fillId="21" borderId="30" xfId="1" applyFont="1" applyFill="1" applyBorder="1" applyProtection="1"/>
    <xf numFmtId="164" fontId="84" fillId="21" borderId="35" xfId="1" applyFont="1" applyFill="1" applyBorder="1" applyProtection="1"/>
    <xf numFmtId="164" fontId="54" fillId="24" borderId="30" xfId="1" applyFont="1" applyFill="1" applyBorder="1" applyProtection="1"/>
    <xf numFmtId="164" fontId="83" fillId="23" borderId="48" xfId="1" applyFont="1" applyFill="1" applyBorder="1" applyProtection="1"/>
    <xf numFmtId="164" fontId="83" fillId="23" borderId="25" xfId="1" applyFont="1" applyFill="1" applyBorder="1" applyProtection="1"/>
    <xf numFmtId="0" fontId="65" fillId="23" borderId="1" xfId="0" applyFont="1" applyFill="1" applyBorder="1" applyAlignment="1">
      <alignment horizontal="center"/>
    </xf>
    <xf numFmtId="164" fontId="65" fillId="23" borderId="52" xfId="1" applyFont="1" applyFill="1" applyBorder="1"/>
    <xf numFmtId="164" fontId="58" fillId="23" borderId="14" xfId="1" applyFont="1" applyFill="1" applyBorder="1"/>
    <xf numFmtId="164" fontId="90" fillId="19" borderId="14" xfId="1" applyFont="1" applyFill="1" applyBorder="1" applyAlignment="1">
      <alignment horizontal="right" vertical="center"/>
    </xf>
    <xf numFmtId="164" fontId="91" fillId="8" borderId="14" xfId="1" applyFont="1" applyFill="1" applyBorder="1"/>
    <xf numFmtId="164" fontId="58" fillId="22" borderId="0" xfId="1" applyFont="1" applyFill="1"/>
    <xf numFmtId="22" fontId="93" fillId="21" borderId="15" xfId="0" applyNumberFormat="1" applyFont="1" applyFill="1" applyBorder="1"/>
    <xf numFmtId="0" fontId="0" fillId="23" borderId="0" xfId="0" applyFill="1"/>
    <xf numFmtId="164" fontId="75" fillId="19" borderId="14" xfId="1" applyFont="1" applyFill="1" applyBorder="1"/>
    <xf numFmtId="0" fontId="90" fillId="23" borderId="14" xfId="0" applyFont="1" applyFill="1" applyBorder="1" applyAlignment="1">
      <alignment vertical="center"/>
    </xf>
    <xf numFmtId="164" fontId="90" fillId="23" borderId="31" xfId="1" applyFont="1" applyFill="1" applyBorder="1" applyAlignment="1">
      <alignment vertical="center"/>
    </xf>
    <xf numFmtId="0" fontId="87" fillId="21" borderId="0" xfId="0" applyFont="1" applyFill="1"/>
    <xf numFmtId="0" fontId="95" fillId="21" borderId="0" xfId="0" applyFont="1" applyFill="1"/>
    <xf numFmtId="164" fontId="97" fillId="25" borderId="1" xfId="1" applyFont="1" applyFill="1" applyBorder="1"/>
    <xf numFmtId="10" fontId="99" fillId="25" borderId="1" xfId="4" applyNumberFormat="1" applyFont="1" applyFill="1" applyBorder="1"/>
    <xf numFmtId="0" fontId="97" fillId="25" borderId="28" xfId="0" applyFont="1" applyFill="1" applyBorder="1" applyAlignment="1">
      <alignment horizontal="center"/>
    </xf>
    <xf numFmtId="164" fontId="100" fillId="25" borderId="24" xfId="1" applyFont="1" applyFill="1" applyBorder="1"/>
    <xf numFmtId="0" fontId="97" fillId="25" borderId="29" xfId="0" applyFont="1" applyFill="1" applyBorder="1" applyAlignment="1">
      <alignment horizontal="center"/>
    </xf>
    <xf numFmtId="164" fontId="97" fillId="25" borderId="48" xfId="1" applyFont="1" applyFill="1" applyBorder="1"/>
    <xf numFmtId="10" fontId="99" fillId="25" borderId="48" xfId="4" applyNumberFormat="1" applyFont="1" applyFill="1" applyBorder="1"/>
    <xf numFmtId="164" fontId="100" fillId="25" borderId="25" xfId="1" applyFont="1" applyFill="1" applyBorder="1"/>
    <xf numFmtId="0" fontId="97" fillId="25" borderId="53" xfId="0" applyFont="1" applyFill="1" applyBorder="1" applyAlignment="1">
      <alignment horizontal="center"/>
    </xf>
    <xf numFmtId="164" fontId="97" fillId="25" borderId="9" xfId="1" applyFont="1" applyFill="1" applyBorder="1"/>
    <xf numFmtId="10" fontId="99" fillId="25" borderId="9" xfId="4" applyNumberFormat="1" applyFont="1" applyFill="1" applyBorder="1"/>
    <xf numFmtId="164" fontId="100" fillId="25" borderId="23" xfId="1" applyFont="1" applyFill="1" applyBorder="1"/>
    <xf numFmtId="0" fontId="94" fillId="21" borderId="14" xfId="0" applyFont="1" applyFill="1" applyBorder="1" applyAlignment="1">
      <alignment horizontal="center" vertical="center"/>
    </xf>
    <xf numFmtId="164" fontId="94" fillId="21" borderId="14" xfId="1" applyFont="1" applyFill="1" applyBorder="1" applyAlignment="1">
      <alignment horizontal="center" vertical="center"/>
    </xf>
    <xf numFmtId="164" fontId="96" fillId="21" borderId="14" xfId="1" applyFont="1" applyFill="1" applyBorder="1" applyAlignment="1">
      <alignment horizontal="center" vertical="center"/>
    </xf>
    <xf numFmtId="0" fontId="94" fillId="21" borderId="14" xfId="0" applyFont="1" applyFill="1" applyBorder="1" applyAlignment="1">
      <alignment vertical="center"/>
    </xf>
    <xf numFmtId="43" fontId="97" fillId="24" borderId="14" xfId="0" applyNumberFormat="1" applyFont="1" applyFill="1" applyBorder="1"/>
    <xf numFmtId="0" fontId="97" fillId="22" borderId="14" xfId="0" applyFont="1" applyFill="1" applyBorder="1"/>
    <xf numFmtId="164" fontId="97" fillId="24" borderId="9" xfId="1" applyFont="1" applyFill="1" applyBorder="1" applyAlignment="1">
      <alignment horizontal="right"/>
    </xf>
    <xf numFmtId="164" fontId="97" fillId="24" borderId="1" xfId="1" applyFont="1" applyFill="1" applyBorder="1" applyAlignment="1">
      <alignment horizontal="right"/>
    </xf>
    <xf numFmtId="164" fontId="97" fillId="24" borderId="48" xfId="1" applyFont="1" applyFill="1" applyBorder="1" applyAlignment="1">
      <alignment horizontal="right"/>
    </xf>
    <xf numFmtId="164" fontId="80" fillId="21" borderId="0" xfId="1" applyFont="1" applyFill="1"/>
    <xf numFmtId="0" fontId="101" fillId="21" borderId="0" xfId="0" applyFont="1" applyFill="1"/>
    <xf numFmtId="164" fontId="101" fillId="21" borderId="0" xfId="1" applyFont="1" applyFill="1" applyBorder="1"/>
    <xf numFmtId="0" fontId="101" fillId="21" borderId="0" xfId="0" applyFont="1" applyFill="1" applyAlignment="1">
      <alignment horizontal="right"/>
    </xf>
    <xf numFmtId="0" fontId="103" fillId="21" borderId="0" xfId="0" applyFont="1" applyFill="1"/>
    <xf numFmtId="0" fontId="104" fillId="21" borderId="0" xfId="0" applyFont="1" applyFill="1"/>
    <xf numFmtId="0" fontId="105" fillId="21" borderId="0" xfId="0" applyFont="1" applyFill="1"/>
    <xf numFmtId="164" fontId="105" fillId="21" borderId="0" xfId="1" applyFont="1" applyFill="1"/>
    <xf numFmtId="0" fontId="102" fillId="21" borderId="1" xfId="0" applyFont="1" applyFill="1" applyBorder="1"/>
    <xf numFmtId="0" fontId="103" fillId="21" borderId="1" xfId="0" applyFont="1" applyFill="1" applyBorder="1"/>
    <xf numFmtId="0" fontId="104" fillId="21" borderId="1" xfId="0" applyFont="1" applyFill="1" applyBorder="1"/>
    <xf numFmtId="0" fontId="104" fillId="0" borderId="0" xfId="0" applyFont="1"/>
    <xf numFmtId="0" fontId="103" fillId="21" borderId="6" xfId="0" applyFont="1" applyFill="1" applyBorder="1"/>
    <xf numFmtId="164" fontId="103" fillId="21" borderId="0" xfId="0" applyNumberFormat="1" applyFont="1" applyFill="1"/>
    <xf numFmtId="164" fontId="103" fillId="21" borderId="15" xfId="0" applyNumberFormat="1" applyFont="1" applyFill="1" applyBorder="1"/>
    <xf numFmtId="167" fontId="105" fillId="21" borderId="0" xfId="4" applyNumberFormat="1" applyFont="1" applyFill="1"/>
    <xf numFmtId="0" fontId="103" fillId="21" borderId="0" xfId="0" applyFont="1" applyFill="1" applyAlignment="1">
      <alignment horizontal="right"/>
    </xf>
    <xf numFmtId="0" fontId="102" fillId="21" borderId="1" xfId="0" applyFont="1" applyFill="1" applyBorder="1" applyAlignment="1">
      <alignment horizontal="center"/>
    </xf>
    <xf numFmtId="0" fontId="103" fillId="21" borderId="6" xfId="0" applyFont="1" applyFill="1" applyBorder="1" applyAlignment="1">
      <alignment horizontal="right"/>
    </xf>
    <xf numFmtId="164" fontId="103" fillId="21" borderId="0" xfId="1" applyFont="1" applyFill="1" applyBorder="1" applyProtection="1"/>
    <xf numFmtId="164" fontId="103" fillId="21" borderId="15" xfId="1" applyFont="1" applyFill="1" applyBorder="1" applyProtection="1"/>
    <xf numFmtId="164" fontId="103" fillId="21" borderId="1" xfId="1" applyFont="1" applyFill="1" applyBorder="1"/>
    <xf numFmtId="164" fontId="102" fillId="21" borderId="1" xfId="0" applyNumberFormat="1" applyFont="1" applyFill="1" applyBorder="1"/>
    <xf numFmtId="0" fontId="102" fillId="21" borderId="32" xfId="0" applyFont="1" applyFill="1" applyBorder="1" applyAlignment="1">
      <alignment horizontal="right"/>
    </xf>
    <xf numFmtId="164" fontId="102" fillId="21" borderId="33" xfId="1" applyFont="1" applyFill="1" applyBorder="1" applyProtection="1"/>
    <xf numFmtId="164" fontId="102" fillId="21" borderId="36" xfId="1" applyFont="1" applyFill="1" applyBorder="1" applyProtection="1"/>
    <xf numFmtId="0" fontId="102" fillId="21" borderId="0" xfId="0" applyFont="1" applyFill="1"/>
    <xf numFmtId="164" fontId="103" fillId="21" borderId="0" xfId="1" applyFont="1" applyFill="1" applyBorder="1"/>
    <xf numFmtId="0" fontId="103" fillId="21" borderId="15" xfId="0" applyFont="1" applyFill="1" applyBorder="1"/>
    <xf numFmtId="0" fontId="103" fillId="21" borderId="14" xfId="0" applyFont="1" applyFill="1" applyBorder="1" applyAlignment="1">
      <alignment horizontal="right"/>
    </xf>
    <xf numFmtId="9" fontId="103" fillId="21" borderId="14" xfId="0" applyNumberFormat="1" applyFont="1" applyFill="1" applyBorder="1"/>
    <xf numFmtId="0" fontId="103" fillId="21" borderId="14" xfId="0" applyFont="1" applyFill="1" applyBorder="1"/>
    <xf numFmtId="0" fontId="103" fillId="21" borderId="22" xfId="0" applyFont="1" applyFill="1" applyBorder="1"/>
    <xf numFmtId="0" fontId="103" fillId="21" borderId="21" xfId="0" applyFont="1" applyFill="1" applyBorder="1"/>
    <xf numFmtId="0" fontId="103" fillId="21" borderId="4" xfId="0" applyFont="1" applyFill="1" applyBorder="1"/>
    <xf numFmtId="9" fontId="103" fillId="21" borderId="43" xfId="0" applyNumberFormat="1" applyFont="1" applyFill="1" applyBorder="1"/>
    <xf numFmtId="164" fontId="103" fillId="21" borderId="30" xfId="1" applyFont="1" applyFill="1" applyBorder="1"/>
    <xf numFmtId="164" fontId="103" fillId="21" borderId="35" xfId="1" applyFont="1" applyFill="1" applyBorder="1"/>
    <xf numFmtId="0" fontId="106" fillId="27" borderId="37" xfId="0" applyFont="1" applyFill="1" applyBorder="1" applyAlignment="1">
      <alignment horizontal="center"/>
    </xf>
    <xf numFmtId="164" fontId="103" fillId="21" borderId="56" xfId="1" applyFont="1" applyFill="1" applyBorder="1"/>
    <xf numFmtId="164" fontId="103" fillId="21" borderId="57" xfId="1" applyFont="1" applyFill="1" applyBorder="1"/>
    <xf numFmtId="0" fontId="106" fillId="27" borderId="58" xfId="0" applyFont="1" applyFill="1" applyBorder="1" applyAlignment="1">
      <alignment horizontal="center"/>
    </xf>
    <xf numFmtId="164" fontId="103" fillId="21" borderId="59" xfId="1" applyFont="1" applyFill="1" applyBorder="1"/>
    <xf numFmtId="164" fontId="103" fillId="21" borderId="60" xfId="1" applyFont="1" applyFill="1" applyBorder="1"/>
    <xf numFmtId="164" fontId="106" fillId="27" borderId="26" xfId="1" applyFont="1" applyFill="1" applyBorder="1" applyAlignment="1">
      <alignment horizontal="center"/>
    </xf>
    <xf numFmtId="0" fontId="106" fillId="23" borderId="30" xfId="0" applyFont="1" applyFill="1" applyBorder="1" applyAlignment="1">
      <alignment horizontal="center"/>
    </xf>
    <xf numFmtId="0" fontId="103" fillId="21" borderId="30" xfId="0" applyFont="1" applyFill="1" applyBorder="1" applyAlignment="1">
      <alignment horizontal="center"/>
    </xf>
    <xf numFmtId="0" fontId="103" fillId="21" borderId="35" xfId="0" applyFont="1" applyFill="1" applyBorder="1" applyAlignment="1">
      <alignment horizontal="center"/>
    </xf>
    <xf numFmtId="0" fontId="106" fillId="23" borderId="14" xfId="0" applyFont="1" applyFill="1" applyBorder="1"/>
    <xf numFmtId="0" fontId="103" fillId="21" borderId="34" xfId="0" applyFont="1" applyFill="1" applyBorder="1" applyAlignment="1">
      <alignment horizontal="center"/>
    </xf>
    <xf numFmtId="164" fontId="84" fillId="21" borderId="0" xfId="1" applyFont="1" applyFill="1" applyBorder="1" applyProtection="1"/>
    <xf numFmtId="164" fontId="84" fillId="21" borderId="15" xfId="1" applyFont="1" applyFill="1" applyBorder="1" applyProtection="1"/>
    <xf numFmtId="0" fontId="54" fillId="22" borderId="6" xfId="0" applyFont="1" applyFill="1" applyBorder="1"/>
    <xf numFmtId="164" fontId="54" fillId="28" borderId="30" xfId="1" applyFont="1" applyFill="1" applyBorder="1" applyProtection="1"/>
    <xf numFmtId="0" fontId="106" fillId="23" borderId="0" xfId="0" applyFont="1" applyFill="1" applyAlignment="1">
      <alignment horizontal="center"/>
    </xf>
    <xf numFmtId="0" fontId="104" fillId="23" borderId="0" xfId="0" applyFont="1" applyFill="1"/>
    <xf numFmtId="164" fontId="104" fillId="23" borderId="1" xfId="1" applyFont="1" applyFill="1" applyBorder="1"/>
    <xf numFmtId="0" fontId="107" fillId="23" borderId="0" xfId="0" applyFont="1" applyFill="1"/>
    <xf numFmtId="164" fontId="106" fillId="20" borderId="1" xfId="1" applyFont="1" applyFill="1" applyBorder="1"/>
    <xf numFmtId="10" fontId="106" fillId="20" borderId="1" xfId="4" applyNumberFormat="1" applyFont="1" applyFill="1" applyBorder="1"/>
    <xf numFmtId="165" fontId="106" fillId="20" borderId="1" xfId="1" applyNumberFormat="1" applyFont="1" applyFill="1" applyBorder="1"/>
    <xf numFmtId="0" fontId="104" fillId="23" borderId="1" xfId="0" applyFont="1" applyFill="1" applyBorder="1" applyAlignment="1">
      <alignment horizontal="right"/>
    </xf>
    <xf numFmtId="164" fontId="106" fillId="29" borderId="1" xfId="1" applyFont="1" applyFill="1" applyBorder="1"/>
    <xf numFmtId="10" fontId="106" fillId="29" borderId="1" xfId="4" applyNumberFormat="1" applyFont="1" applyFill="1" applyBorder="1"/>
    <xf numFmtId="165" fontId="106" fillId="29" borderId="1" xfId="1" applyNumberFormat="1" applyFont="1" applyFill="1" applyBorder="1"/>
    <xf numFmtId="0" fontId="106" fillId="30" borderId="0" xfId="0" applyFont="1" applyFill="1" applyAlignment="1">
      <alignment horizontal="center"/>
    </xf>
    <xf numFmtId="0" fontId="104" fillId="30" borderId="1" xfId="0" applyFont="1" applyFill="1" applyBorder="1" applyAlignment="1">
      <alignment horizontal="right"/>
    </xf>
    <xf numFmtId="164" fontId="104" fillId="30" borderId="1" xfId="1" applyFont="1" applyFill="1" applyBorder="1"/>
    <xf numFmtId="0" fontId="104" fillId="30" borderId="0" xfId="0" applyFont="1" applyFill="1"/>
    <xf numFmtId="0" fontId="107" fillId="30" borderId="0" xfId="0" applyFont="1" applyFill="1"/>
    <xf numFmtId="0" fontId="75" fillId="22" borderId="55" xfId="0" applyFont="1" applyFill="1" applyBorder="1" applyAlignment="1">
      <alignment vertical="center"/>
    </xf>
    <xf numFmtId="164" fontId="90" fillId="31" borderId="14" xfId="1" applyFont="1" applyFill="1" applyBorder="1" applyAlignment="1">
      <alignment horizontal="right" vertical="center"/>
    </xf>
    <xf numFmtId="164" fontId="75" fillId="31" borderId="55" xfId="1" applyFont="1" applyFill="1" applyBorder="1"/>
    <xf numFmtId="164" fontId="60" fillId="23" borderId="43" xfId="1" applyFont="1" applyFill="1" applyBorder="1" applyAlignment="1">
      <alignment horizontal="center" vertical="center" wrapText="1"/>
    </xf>
    <xf numFmtId="164" fontId="60" fillId="23" borderId="61" xfId="1" applyFont="1" applyFill="1" applyBorder="1" applyAlignment="1">
      <alignment horizontal="center" vertical="center" wrapText="1"/>
    </xf>
    <xf numFmtId="164" fontId="60" fillId="23" borderId="31" xfId="1" applyFont="1" applyFill="1" applyBorder="1" applyAlignment="1">
      <alignment horizontal="center" vertical="center" wrapText="1"/>
    </xf>
    <xf numFmtId="0" fontId="106" fillId="20" borderId="16" xfId="0" applyFont="1" applyFill="1" applyBorder="1" applyAlignment="1">
      <alignment horizontal="center" vertical="center"/>
    </xf>
    <xf numFmtId="0" fontId="106" fillId="20" borderId="40" xfId="0" applyFont="1" applyFill="1" applyBorder="1" applyAlignment="1">
      <alignment horizontal="center" vertical="center"/>
    </xf>
    <xf numFmtId="0" fontId="106" fillId="20" borderId="21" xfId="0" applyFont="1" applyFill="1" applyBorder="1" applyAlignment="1">
      <alignment horizontal="center" vertical="center"/>
    </xf>
    <xf numFmtId="0" fontId="106" fillId="20" borderId="4" xfId="0" applyFont="1" applyFill="1" applyBorder="1" applyAlignment="1">
      <alignment horizontal="center" vertical="center"/>
    </xf>
    <xf numFmtId="0" fontId="106" fillId="20" borderId="38" xfId="0" applyFont="1" applyFill="1" applyBorder="1" applyAlignment="1">
      <alignment horizontal="center" vertical="center"/>
    </xf>
    <xf numFmtId="0" fontId="106" fillId="20" borderId="22" xfId="0" applyFont="1" applyFill="1" applyBorder="1" applyAlignment="1">
      <alignment horizontal="center" vertical="center"/>
    </xf>
    <xf numFmtId="0" fontId="106" fillId="23" borderId="26" xfId="0" applyFont="1" applyFill="1" applyBorder="1" applyAlignment="1">
      <alignment horizontal="center" vertical="center"/>
    </xf>
    <xf numFmtId="0" fontId="106" fillId="23" borderId="30" xfId="0" applyFont="1" applyFill="1" applyBorder="1" applyAlignment="1">
      <alignment horizontal="center" vertical="center"/>
    </xf>
    <xf numFmtId="164" fontId="59" fillId="18" borderId="43" xfId="1" applyFont="1" applyFill="1" applyBorder="1" applyAlignment="1" applyProtection="1">
      <alignment horizontal="center"/>
    </xf>
    <xf numFmtId="164" fontId="59" fillId="18" borderId="61" xfId="1" applyFont="1" applyFill="1" applyBorder="1" applyAlignment="1" applyProtection="1">
      <alignment horizontal="center"/>
    </xf>
    <xf numFmtId="164" fontId="59" fillId="18" borderId="31" xfId="1" applyFont="1" applyFill="1" applyBorder="1" applyAlignment="1" applyProtection="1">
      <alignment horizontal="center"/>
    </xf>
    <xf numFmtId="164" fontId="59" fillId="28" borderId="43" xfId="1" applyFont="1" applyFill="1" applyBorder="1" applyAlignment="1" applyProtection="1">
      <alignment horizontal="center"/>
    </xf>
    <xf numFmtId="164" fontId="59" fillId="28" borderId="61" xfId="1" applyFont="1" applyFill="1" applyBorder="1" applyAlignment="1" applyProtection="1">
      <alignment horizontal="center"/>
    </xf>
    <xf numFmtId="164" fontId="59" fillId="28" borderId="31" xfId="1" applyFont="1" applyFill="1" applyBorder="1" applyAlignment="1" applyProtection="1">
      <alignment horizontal="center"/>
    </xf>
    <xf numFmtId="0" fontId="108" fillId="20" borderId="0" xfId="0" applyFont="1" applyFill="1" applyAlignment="1">
      <alignment horizontal="center"/>
    </xf>
    <xf numFmtId="0" fontId="108" fillId="30" borderId="0" xfId="0" applyFont="1" applyFill="1" applyAlignment="1">
      <alignment horizontal="center"/>
    </xf>
    <xf numFmtId="0" fontId="98" fillId="25" borderId="16" xfId="0" applyFont="1" applyFill="1" applyBorder="1" applyAlignment="1">
      <alignment horizontal="center" vertical="center"/>
    </xf>
    <xf numFmtId="0" fontId="98" fillId="25" borderId="40" xfId="0" applyFont="1" applyFill="1" applyBorder="1" applyAlignment="1">
      <alignment horizontal="center" vertical="center"/>
    </xf>
    <xf numFmtId="0" fontId="98" fillId="25" borderId="38" xfId="0" applyFont="1" applyFill="1" applyBorder="1" applyAlignment="1">
      <alignment horizontal="center" vertical="center"/>
    </xf>
    <xf numFmtId="0" fontId="98" fillId="25" borderId="21" xfId="0" applyFont="1" applyFill="1" applyBorder="1" applyAlignment="1">
      <alignment horizontal="center" vertical="center"/>
    </xf>
    <xf numFmtId="0" fontId="98" fillId="25" borderId="4" xfId="0" applyFont="1" applyFill="1" applyBorder="1" applyAlignment="1">
      <alignment horizontal="center" vertical="center"/>
    </xf>
    <xf numFmtId="0" fontId="98" fillId="25" borderId="22" xfId="0" applyFont="1" applyFill="1" applyBorder="1" applyAlignment="1">
      <alignment horizontal="center" vertical="center"/>
    </xf>
    <xf numFmtId="0" fontId="97" fillId="22" borderId="54" xfId="0" applyFont="1" applyFill="1" applyBorder="1" applyAlignment="1">
      <alignment horizontal="center" vertical="center"/>
    </xf>
    <xf numFmtId="0" fontId="97" fillId="22" borderId="55" xfId="0" applyFont="1" applyFill="1" applyBorder="1" applyAlignment="1">
      <alignment horizontal="center" vertical="center"/>
    </xf>
    <xf numFmtId="164" fontId="97" fillId="24" borderId="54" xfId="0" applyNumberFormat="1" applyFont="1" applyFill="1" applyBorder="1" applyAlignment="1">
      <alignment vertical="center" wrapText="1"/>
    </xf>
    <xf numFmtId="164" fontId="97" fillId="24" borderId="55" xfId="0" applyNumberFormat="1" applyFont="1" applyFill="1" applyBorder="1" applyAlignment="1">
      <alignment vertical="center" wrapText="1"/>
    </xf>
    <xf numFmtId="0" fontId="97" fillId="22" borderId="54" xfId="0" applyFont="1" applyFill="1" applyBorder="1" applyAlignment="1">
      <alignment horizontal="center" vertical="center" wrapText="1"/>
    </xf>
    <xf numFmtId="0" fontId="97" fillId="22" borderId="55" xfId="0" applyFont="1" applyFill="1" applyBorder="1" applyAlignment="1">
      <alignment horizontal="center" vertical="center" wrapText="1"/>
    </xf>
    <xf numFmtId="164" fontId="100" fillId="24" borderId="54" xfId="1" applyFont="1" applyFill="1" applyBorder="1" applyAlignment="1">
      <alignment horizontal="center" vertical="center" wrapText="1"/>
    </xf>
    <xf numFmtId="164" fontId="100" fillId="24" borderId="55" xfId="1" applyFont="1" applyFill="1" applyBorder="1" applyAlignment="1">
      <alignment horizontal="center" vertical="center" wrapText="1"/>
    </xf>
    <xf numFmtId="0" fontId="103" fillId="21" borderId="43" xfId="0" applyFont="1" applyFill="1" applyBorder="1" applyAlignment="1">
      <alignment horizontal="center"/>
    </xf>
    <xf numFmtId="0" fontId="103" fillId="21" borderId="31" xfId="0" applyFont="1" applyFill="1" applyBorder="1" applyAlignment="1">
      <alignment horizontal="center"/>
    </xf>
    <xf numFmtId="0" fontId="92" fillId="23" borderId="16" xfId="0" applyFont="1" applyFill="1" applyBorder="1" applyAlignment="1">
      <alignment horizontal="center" vertical="center"/>
    </xf>
    <xf numFmtId="0" fontId="92" fillId="23" borderId="40" xfId="0" applyFont="1" applyFill="1" applyBorder="1" applyAlignment="1">
      <alignment horizontal="center" vertical="center"/>
    </xf>
    <xf numFmtId="0" fontId="92" fillId="23" borderId="38" xfId="0" applyFont="1" applyFill="1" applyBorder="1" applyAlignment="1">
      <alignment horizontal="center" vertical="center"/>
    </xf>
    <xf numFmtId="0" fontId="85" fillId="21" borderId="6" xfId="0" applyFont="1" applyFill="1" applyBorder="1" applyAlignment="1">
      <alignment horizontal="center" vertical="center"/>
    </xf>
    <xf numFmtId="0" fontId="85" fillId="21" borderId="0" xfId="0" applyFont="1" applyFill="1" applyAlignment="1">
      <alignment horizontal="center" vertical="center"/>
    </xf>
    <xf numFmtId="0" fontId="61" fillId="8" borderId="21" xfId="0" applyFont="1" applyFill="1" applyBorder="1" applyAlignment="1">
      <alignment horizontal="center"/>
    </xf>
    <xf numFmtId="0" fontId="61" fillId="8" borderId="4" xfId="0" applyFont="1" applyFill="1" applyBorder="1" applyAlignment="1">
      <alignment horizontal="center"/>
    </xf>
    <xf numFmtId="0" fontId="61" fillId="8" borderId="22" xfId="0" applyFont="1" applyFill="1" applyBorder="1" applyAlignment="1">
      <alignment horizontal="center"/>
    </xf>
    <xf numFmtId="0" fontId="102" fillId="21" borderId="16" xfId="0" applyFont="1" applyFill="1" applyBorder="1" applyAlignment="1">
      <alignment horizontal="center"/>
    </xf>
    <xf numFmtId="0" fontId="102" fillId="21" borderId="40" xfId="0" applyFont="1" applyFill="1" applyBorder="1" applyAlignment="1">
      <alignment horizontal="center"/>
    </xf>
    <xf numFmtId="0" fontId="102" fillId="21" borderId="38" xfId="0" applyFont="1" applyFill="1" applyBorder="1" applyAlignment="1">
      <alignment horizontal="center"/>
    </xf>
    <xf numFmtId="0" fontId="106" fillId="26" borderId="41" xfId="0" applyFont="1" applyFill="1" applyBorder="1" applyAlignment="1">
      <alignment horizontal="center"/>
    </xf>
    <xf numFmtId="0" fontId="106" fillId="26" borderId="42" xfId="0" applyFont="1" applyFill="1" applyBorder="1" applyAlignment="1">
      <alignment horizontal="center"/>
    </xf>
    <xf numFmtId="0" fontId="106" fillId="26" borderId="43" xfId="0" applyFont="1" applyFill="1" applyBorder="1" applyAlignment="1">
      <alignment horizontal="center"/>
    </xf>
    <xf numFmtId="0" fontId="106" fillId="26" borderId="31" xfId="0" applyFont="1" applyFill="1" applyBorder="1" applyAlignment="1">
      <alignment horizontal="center"/>
    </xf>
    <xf numFmtId="0" fontId="80" fillId="21" borderId="43" xfId="0" applyFont="1" applyFill="1" applyBorder="1" applyAlignment="1">
      <alignment horizontal="center"/>
    </xf>
    <xf numFmtId="0" fontId="80" fillId="21" borderId="31" xfId="0" applyFont="1" applyFill="1" applyBorder="1" applyAlignment="1">
      <alignment horizontal="center"/>
    </xf>
    <xf numFmtId="0" fontId="84" fillId="21" borderId="16" xfId="0" applyFont="1" applyFill="1" applyBorder="1" applyAlignment="1">
      <alignment horizontal="center"/>
    </xf>
    <xf numFmtId="0" fontId="84" fillId="21" borderId="40" xfId="0" applyFont="1" applyFill="1" applyBorder="1" applyAlignment="1">
      <alignment horizontal="center"/>
    </xf>
    <xf numFmtId="0" fontId="84" fillId="21" borderId="38" xfId="0" applyFont="1" applyFill="1" applyBorder="1" applyAlignment="1">
      <alignment horizontal="center"/>
    </xf>
    <xf numFmtId="0" fontId="80" fillId="21" borderId="41" xfId="0" applyFont="1" applyFill="1" applyBorder="1" applyAlignment="1">
      <alignment horizontal="center"/>
    </xf>
    <xf numFmtId="0" fontId="80" fillId="21" borderId="42" xfId="0" applyFont="1" applyFill="1" applyBorder="1" applyAlignment="1">
      <alignment horizontal="center"/>
    </xf>
    <xf numFmtId="164" fontId="97" fillId="24" borderId="40" xfId="0" applyNumberFormat="1" applyFont="1" applyFill="1" applyBorder="1" applyAlignment="1">
      <alignment vertical="center" wrapText="1"/>
    </xf>
    <xf numFmtId="164" fontId="97" fillId="24" borderId="0" xfId="0" applyNumberFormat="1" applyFont="1" applyFill="1" applyAlignment="1">
      <alignment vertical="center" wrapText="1"/>
    </xf>
    <xf numFmtId="0" fontId="60" fillId="8" borderId="16" xfId="0" applyFont="1" applyFill="1" applyBorder="1" applyAlignment="1">
      <alignment horizontal="center"/>
    </xf>
    <xf numFmtId="0" fontId="60" fillId="8" borderId="40" xfId="0" applyFont="1" applyFill="1" applyBorder="1" applyAlignment="1">
      <alignment horizontal="center"/>
    </xf>
    <xf numFmtId="0" fontId="60" fillId="8" borderId="38" xfId="0" applyFont="1" applyFill="1" applyBorder="1" applyAlignment="1">
      <alignment horizontal="center"/>
    </xf>
    <xf numFmtId="0" fontId="0" fillId="11" borderId="41" xfId="0" applyFill="1" applyBorder="1" applyAlignment="1">
      <alignment horizontal="center"/>
    </xf>
    <xf numFmtId="0" fontId="0" fillId="11" borderId="42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0" fontId="54" fillId="11" borderId="16" xfId="0" applyFont="1" applyFill="1" applyBorder="1" applyAlignment="1">
      <alignment horizontal="center"/>
    </xf>
    <xf numFmtId="0" fontId="54" fillId="11" borderId="40" xfId="0" applyFont="1" applyFill="1" applyBorder="1" applyAlignment="1">
      <alignment horizontal="center"/>
    </xf>
    <xf numFmtId="0" fontId="54" fillId="11" borderId="38" xfId="0" applyFont="1" applyFill="1" applyBorder="1" applyAlignment="1">
      <alignment horizontal="center"/>
    </xf>
    <xf numFmtId="0" fontId="25" fillId="16" borderId="39" xfId="0" applyFont="1" applyFill="1" applyBorder="1" applyAlignment="1">
      <alignment horizontal="left"/>
    </xf>
    <xf numFmtId="0" fontId="25" fillId="16" borderId="37" xfId="0" applyFont="1" applyFill="1" applyBorder="1" applyAlignment="1">
      <alignment horizontal="left"/>
    </xf>
    <xf numFmtId="0" fontId="30" fillId="17" borderId="16" xfId="0" applyFont="1" applyFill="1" applyBorder="1" applyAlignment="1">
      <alignment horizontal="left" vertical="center"/>
    </xf>
    <xf numFmtId="0" fontId="30" fillId="17" borderId="38" xfId="0" applyFont="1" applyFill="1" applyBorder="1" applyAlignment="1">
      <alignment horizontal="left" vertical="center"/>
    </xf>
    <xf numFmtId="0" fontId="30" fillId="17" borderId="6" xfId="0" applyFont="1" applyFill="1" applyBorder="1" applyAlignment="1">
      <alignment horizontal="left" vertical="center"/>
    </xf>
    <xf numFmtId="0" fontId="30" fillId="17" borderId="15" xfId="0" applyFont="1" applyFill="1" applyBorder="1" applyAlignment="1">
      <alignment horizontal="left" vertical="center"/>
    </xf>
    <xf numFmtId="0" fontId="54" fillId="3" borderId="0" xfId="0" applyFont="1" applyFill="1" applyAlignment="1">
      <alignment horizontal="left"/>
    </xf>
    <xf numFmtId="4" fontId="3" fillId="4" borderId="0" xfId="3" applyNumberFormat="1" applyFont="1" applyFill="1" applyAlignment="1">
      <alignment horizontal="center"/>
    </xf>
    <xf numFmtId="0" fontId="18" fillId="4" borderId="7" xfId="3" applyFont="1" applyFill="1" applyBorder="1" applyAlignment="1">
      <alignment horizontal="center"/>
    </xf>
    <xf numFmtId="0" fontId="3" fillId="0" borderId="8" xfId="3" applyFont="1" applyBorder="1" applyAlignment="1">
      <alignment horizontal="center" vertical="center" wrapText="1"/>
    </xf>
    <xf numFmtId="0" fontId="2" fillId="0" borderId="10" xfId="3" applyBorder="1" applyAlignment="1">
      <alignment horizontal="center" wrapText="1"/>
    </xf>
    <xf numFmtId="164" fontId="3" fillId="0" borderId="8" xfId="2" applyFont="1" applyBorder="1" applyAlignment="1" applyProtection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164" fontId="3" fillId="0" borderId="10" xfId="2" applyFont="1" applyBorder="1" applyAlignment="1" applyProtection="1">
      <alignment horizontal="center" vertical="center" wrapText="1"/>
    </xf>
    <xf numFmtId="164" fontId="3" fillId="0" borderId="9" xfId="2" applyFont="1" applyBorder="1" applyAlignment="1" applyProtection="1">
      <alignment horizontal="center" vertical="center" wrapText="1"/>
    </xf>
    <xf numFmtId="164" fontId="3" fillId="0" borderId="44" xfId="2" applyFont="1" applyBorder="1" applyAlignment="1" applyProtection="1">
      <alignment horizontal="center" vertical="center" wrapText="1"/>
    </xf>
    <xf numFmtId="0" fontId="3" fillId="0" borderId="45" xfId="3" applyFont="1" applyBorder="1" applyAlignment="1">
      <alignment horizontal="center" vertical="center" wrapText="1"/>
    </xf>
    <xf numFmtId="164" fontId="3" fillId="0" borderId="45" xfId="2" applyFont="1" applyBorder="1" applyAlignment="1" applyProtection="1">
      <alignment horizontal="center" vertical="center" wrapText="1"/>
    </xf>
    <xf numFmtId="164" fontId="3" fillId="0" borderId="3" xfId="2" applyFont="1" applyBorder="1" applyAlignment="1" applyProtection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64" fontId="3" fillId="0" borderId="0" xfId="2" applyFont="1" applyBorder="1" applyAlignment="1" applyProtection="1">
      <alignment horizontal="center" vertical="center" wrapText="1"/>
    </xf>
    <xf numFmtId="0" fontId="7" fillId="0" borderId="44" xfId="3" applyFont="1" applyBorder="1" applyAlignment="1" applyProtection="1">
      <alignment horizontal="center" vertical="center" wrapText="1"/>
      <protection locked="0"/>
    </xf>
    <xf numFmtId="0" fontId="7" fillId="0" borderId="45" xfId="3" applyFont="1" applyBorder="1" applyAlignment="1" applyProtection="1">
      <alignment horizontal="center" vertical="center" wrapText="1"/>
      <protection locked="0"/>
    </xf>
    <xf numFmtId="0" fontId="7" fillId="0" borderId="8" xfId="3" applyFont="1" applyBorder="1" applyAlignment="1" applyProtection="1">
      <alignment horizontal="center" vertical="center" wrapText="1"/>
      <protection locked="0"/>
    </xf>
    <xf numFmtId="0" fontId="7" fillId="0" borderId="10" xfId="3" applyFont="1" applyBorder="1" applyAlignment="1" applyProtection="1">
      <alignment horizontal="center" vertical="center" wrapText="1"/>
      <protection locked="0"/>
    </xf>
    <xf numFmtId="0" fontId="19" fillId="4" borderId="40" xfId="3" applyFont="1" applyFill="1" applyBorder="1" applyAlignment="1">
      <alignment horizontal="center" vertical="center"/>
    </xf>
    <xf numFmtId="0" fontId="19" fillId="4" borderId="38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/>
    </xf>
    <xf numFmtId="0" fontId="19" fillId="4" borderId="22" xfId="3" applyFont="1" applyFill="1" applyBorder="1" applyAlignment="1">
      <alignment horizontal="center" vertical="center"/>
    </xf>
    <xf numFmtId="0" fontId="3" fillId="4" borderId="0" xfId="3" applyFont="1" applyFill="1" applyAlignment="1">
      <alignment horizontal="center"/>
    </xf>
    <xf numFmtId="164" fontId="3" fillId="0" borderId="46" xfId="2" applyFont="1" applyBorder="1" applyAlignment="1" applyProtection="1">
      <alignment horizontal="center" vertical="center" wrapText="1"/>
    </xf>
    <xf numFmtId="0" fontId="3" fillId="0" borderId="47" xfId="3" applyFont="1" applyBorder="1" applyAlignment="1">
      <alignment horizontal="center" vertical="center" wrapText="1"/>
    </xf>
    <xf numFmtId="164" fontId="3" fillId="0" borderId="47" xfId="2" applyFont="1" applyBorder="1" applyAlignment="1" applyProtection="1">
      <alignment horizontal="center" vertical="center" wrapText="1"/>
    </xf>
    <xf numFmtId="0" fontId="55" fillId="0" borderId="0" xfId="0" applyFont="1" applyAlignment="1">
      <alignment horizontal="center"/>
    </xf>
    <xf numFmtId="0" fontId="41" fillId="0" borderId="19" xfId="0" applyFont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48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5" xfId="0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41" fillId="0" borderId="50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top" wrapText="1"/>
    </xf>
    <xf numFmtId="0" fontId="41" fillId="0" borderId="18" xfId="0" applyFont="1" applyBorder="1" applyAlignment="1">
      <alignment horizontal="center" vertical="top" wrapText="1"/>
    </xf>
    <xf numFmtId="0" fontId="41" fillId="0" borderId="28" xfId="0" applyFont="1" applyBorder="1" applyAlignment="1">
      <alignment horizontal="center" vertical="top" wrapText="1"/>
    </xf>
    <xf numFmtId="0" fontId="41" fillId="0" borderId="24" xfId="0" applyFont="1" applyBorder="1" applyAlignment="1">
      <alignment horizontal="center" vertical="top" wrapText="1"/>
    </xf>
    <xf numFmtId="0" fontId="41" fillId="0" borderId="29" xfId="0" applyFont="1" applyBorder="1" applyAlignment="1">
      <alignment horizontal="center" vertical="top" wrapText="1"/>
    </xf>
    <xf numFmtId="0" fontId="41" fillId="0" borderId="25" xfId="0" applyFont="1" applyBorder="1" applyAlignment="1">
      <alignment horizontal="center" vertical="top" wrapText="1"/>
    </xf>
    <xf numFmtId="0" fontId="41" fillId="0" borderId="0" xfId="0" applyFont="1" applyAlignment="1">
      <alignment horizontal="right"/>
    </xf>
    <xf numFmtId="0" fontId="57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8" fillId="0" borderId="4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0" borderId="40" xfId="0" applyFont="1" applyBorder="1" applyAlignment="1">
      <alignment horizontal="left" vertical="top" wrapText="1"/>
    </xf>
    <xf numFmtId="0" fontId="56" fillId="0" borderId="0" xfId="0" applyFont="1" applyAlignment="1">
      <alignment horizontal="left"/>
    </xf>
    <xf numFmtId="0" fontId="56" fillId="0" borderId="51" xfId="0" applyFont="1" applyBorder="1" applyAlignment="1">
      <alignment horizontal="left"/>
    </xf>
    <xf numFmtId="0" fontId="53" fillId="0" borderId="0" xfId="0" applyFont="1" applyAlignment="1">
      <alignment horizontal="center"/>
    </xf>
    <xf numFmtId="169" fontId="48" fillId="0" borderId="7" xfId="0" applyNumberFormat="1" applyFont="1" applyBorder="1" applyAlignment="1">
      <alignment horizontal="left"/>
    </xf>
    <xf numFmtId="0" fontId="50" fillId="0" borderId="7" xfId="0" applyFont="1" applyBorder="1" applyAlignment="1">
      <alignment horizontal="left" indent="2"/>
    </xf>
    <xf numFmtId="169" fontId="50" fillId="0" borderId="7" xfId="0" applyNumberFormat="1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48" fillId="0" borderId="4" xfId="0" applyFont="1" applyBorder="1" applyAlignment="1">
      <alignment horizontal="left"/>
    </xf>
    <xf numFmtId="0" fontId="49" fillId="0" borderId="4" xfId="0" applyFont="1" applyBorder="1" applyAlignment="1">
      <alignment horizontal="center" vertical="top" wrapText="1"/>
    </xf>
    <xf numFmtId="0" fontId="49" fillId="0" borderId="40" xfId="0" applyFont="1" applyBorder="1" applyAlignment="1">
      <alignment horizontal="left" vertical="top"/>
    </xf>
    <xf numFmtId="164" fontId="59" fillId="19" borderId="43" xfId="1" applyFont="1" applyFill="1" applyBorder="1" applyProtection="1">
      <protection locked="0"/>
    </xf>
    <xf numFmtId="164" fontId="113" fillId="32" borderId="62" xfId="1" applyFont="1" applyFill="1" applyBorder="1" applyAlignment="1" applyProtection="1">
      <alignment horizontal="center"/>
    </xf>
    <xf numFmtId="167" fontId="113" fillId="32" borderId="62" xfId="4" applyNumberFormat="1" applyFont="1" applyFill="1" applyBorder="1" applyAlignment="1" applyProtection="1">
      <alignment horizontal="right"/>
    </xf>
    <xf numFmtId="164" fontId="113" fillId="32" borderId="62" xfId="1" applyFont="1" applyFill="1" applyBorder="1" applyProtection="1"/>
    <xf numFmtId="0" fontId="111" fillId="30" borderId="0" xfId="0" applyFont="1" applyFill="1" applyProtection="1"/>
    <xf numFmtId="0" fontId="0" fillId="30" borderId="0" xfId="0" applyFill="1" applyProtection="1"/>
    <xf numFmtId="0" fontId="0" fillId="0" borderId="0" xfId="0" applyProtection="1"/>
    <xf numFmtId="0" fontId="109" fillId="30" borderId="0" xfId="0" applyFont="1" applyFill="1" applyProtection="1"/>
    <xf numFmtId="0" fontId="110" fillId="30" borderId="0" xfId="0" applyFont="1" applyFill="1" applyAlignment="1" applyProtection="1">
      <alignment horizontal="right"/>
    </xf>
    <xf numFmtId="0" fontId="110" fillId="30" borderId="15" xfId="0" applyFont="1" applyFill="1" applyBorder="1" applyAlignment="1" applyProtection="1">
      <alignment horizontal="right"/>
    </xf>
    <xf numFmtId="0" fontId="110" fillId="30" borderId="0" xfId="0" applyFont="1" applyFill="1" applyAlignment="1" applyProtection="1">
      <alignment horizontal="right"/>
    </xf>
    <xf numFmtId="0" fontId="112" fillId="32" borderId="6" xfId="0" applyFont="1" applyFill="1" applyBorder="1" applyAlignment="1" applyProtection="1">
      <alignment horizontal="left"/>
    </xf>
  </cellXfs>
  <cellStyles count="6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  <cellStyle name="Percent" xfId="4" builtinId="5"/>
    <cellStyle name="Percent 2" xfId="5" xr:uid="{00000000-0005-0000-0000-000005000000}"/>
  </cellStyles>
  <dxfs count="0"/>
  <tableStyles count="0" defaultTableStyle="TableStyleMedium9" defaultPivotStyle="PivotStyleLight16"/>
  <colors>
    <mruColors>
      <color rgb="FF0000CC"/>
      <color rgb="FFE5F0FF"/>
      <color rgb="FFFFFFFF"/>
      <color rgb="FF0066FF"/>
      <color rgb="FF000099"/>
      <color rgb="FF3366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268145</xdr:colOff>
      <xdr:row>7</xdr:row>
      <xdr:rowOff>379275</xdr:rowOff>
    </xdr:from>
    <xdr:to>
      <xdr:col>8</xdr:col>
      <xdr:colOff>830120</xdr:colOff>
      <xdr:row>15</xdr:row>
      <xdr:rowOff>188775</xdr:rowOff>
    </xdr:to>
    <xdr:sp macro="" textlink="">
      <xdr:nvSpPr>
        <xdr:cNvPr id="62465" name="Striped Right Arrow 2">
          <a:extLst>
            <a:ext uri="{FF2B5EF4-FFF2-40B4-BE49-F238E27FC236}">
              <a16:creationId xmlns:a16="http://schemas.microsoft.com/office/drawing/2014/main" id="{00000000-0008-0000-0400-000001F40000}"/>
            </a:ext>
          </a:extLst>
        </xdr:cNvPr>
        <xdr:cNvSpPr>
          <a:spLocks noChangeArrowheads="1"/>
        </xdr:cNvSpPr>
      </xdr:nvSpPr>
      <xdr:spPr bwMode="auto">
        <a:xfrm flipH="1">
          <a:off x="9342872" y="2480548"/>
          <a:ext cx="4799157" cy="3342409"/>
        </a:xfrm>
        <a:custGeom>
          <a:avLst/>
          <a:gdLst>
            <a:gd name="T0" fmla="*/ 3610256 w 3727982"/>
            <a:gd name="T1" fmla="*/ 0 h 2754311"/>
            <a:gd name="T2" fmla="*/ 0 w 3727982"/>
            <a:gd name="T3" fmla="*/ 1336348 h 2754311"/>
            <a:gd name="T4" fmla="*/ 3610256 w 3727982"/>
            <a:gd name="T5" fmla="*/ 2672691 h 2754311"/>
            <a:gd name="T6" fmla="*/ 4622090 w 3727982"/>
            <a:gd name="T7" fmla="*/ 1336348 h 2754311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430361 w 3727982"/>
            <a:gd name="T13" fmla="*/ 688578 h 2754311"/>
            <a:gd name="T14" fmla="*/ 3319930 w 3727982"/>
            <a:gd name="T15" fmla="*/ 2065733 h 2754311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3727982" h="2754311">
              <a:moveTo>
                <a:pt x="0" y="688578"/>
              </a:moveTo>
              <a:lnTo>
                <a:pt x="86072" y="688578"/>
              </a:lnTo>
              <a:lnTo>
                <a:pt x="86072" y="2065733"/>
              </a:lnTo>
              <a:lnTo>
                <a:pt x="0" y="2065733"/>
              </a:lnTo>
              <a:lnTo>
                <a:pt x="0" y="688578"/>
              </a:lnTo>
              <a:close/>
              <a:moveTo>
                <a:pt x="172144" y="688578"/>
              </a:moveTo>
              <a:lnTo>
                <a:pt x="344289" y="688578"/>
              </a:lnTo>
              <a:lnTo>
                <a:pt x="344289" y="2065733"/>
              </a:lnTo>
              <a:lnTo>
                <a:pt x="172144" y="2065733"/>
              </a:lnTo>
              <a:lnTo>
                <a:pt x="172144" y="688578"/>
              </a:lnTo>
              <a:close/>
              <a:moveTo>
                <a:pt x="430361" y="688578"/>
              </a:moveTo>
              <a:lnTo>
                <a:pt x="2911880" y="688578"/>
              </a:lnTo>
              <a:lnTo>
                <a:pt x="2911880" y="0"/>
              </a:lnTo>
              <a:lnTo>
                <a:pt x="3727982" y="1377156"/>
              </a:lnTo>
              <a:lnTo>
                <a:pt x="2911880" y="2754311"/>
              </a:lnTo>
              <a:lnTo>
                <a:pt x="2911880" y="2065733"/>
              </a:lnTo>
              <a:lnTo>
                <a:pt x="430361" y="2065733"/>
              </a:lnTo>
              <a:lnTo>
                <a:pt x="430361" y="688578"/>
              </a:lnTo>
              <a:close/>
            </a:path>
          </a:pathLst>
        </a:custGeom>
        <a:solidFill>
          <a:srgbClr val="FFFFFF"/>
        </a:solidFill>
        <a:ln w="25400" algn="ctr">
          <a:solidFill>
            <a:srgbClr val="FFFFFF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358698</xdr:colOff>
      <xdr:row>11</xdr:row>
      <xdr:rowOff>64280</xdr:rowOff>
    </xdr:from>
    <xdr:to>
      <xdr:col>8</xdr:col>
      <xdr:colOff>813956</xdr:colOff>
      <xdr:row>13</xdr:row>
      <xdr:rowOff>326263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8446289" y="3960871"/>
          <a:ext cx="3832303" cy="11278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lnSpc>
              <a:spcPts val="3300"/>
            </a:lnSpc>
          </a:pPr>
          <a:r>
            <a:rPr lang="en-US" sz="3600" b="1" cap="none" spc="0">
              <a:ln w="12700">
                <a:solidFill>
                  <a:schemeClr val="tx1"/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INPUT</a:t>
          </a:r>
          <a:r>
            <a:rPr lang="en-US" sz="36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en-US" sz="3600" b="1" cap="none" spc="0">
              <a:ln w="12700">
                <a:solidFill>
                  <a:schemeClr val="tx1"/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DATA ON WHITE CELLS</a:t>
          </a:r>
        </a:p>
        <a:p>
          <a:pPr algn="ctr">
            <a:lnSpc>
              <a:spcPts val="3300"/>
            </a:lnSpc>
          </a:pPr>
          <a:endParaRPr lang="en-US" sz="3600" b="1" cap="none" spc="0">
            <a:ln w="12700">
              <a:solidFill>
                <a:schemeClr val="tx1"/>
              </a:solidFill>
              <a:prstDash val="solid"/>
            </a:ln>
            <a:solidFill>
              <a:srgbClr val="FFFF00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7</xdr:row>
      <xdr:rowOff>552450</xdr:rowOff>
    </xdr:from>
    <xdr:to>
      <xdr:col>8</xdr:col>
      <xdr:colOff>876300</xdr:colOff>
      <xdr:row>15</xdr:row>
      <xdr:rowOff>361950</xdr:rowOff>
    </xdr:to>
    <xdr:sp macro="" textlink="">
      <xdr:nvSpPr>
        <xdr:cNvPr id="63489" name="Striped Right Arrow 2">
          <a:extLst>
            <a:ext uri="{FF2B5EF4-FFF2-40B4-BE49-F238E27FC236}">
              <a16:creationId xmlns:a16="http://schemas.microsoft.com/office/drawing/2014/main" id="{00000000-0008-0000-0500-000001F80000}"/>
            </a:ext>
          </a:extLst>
        </xdr:cNvPr>
        <xdr:cNvSpPr>
          <a:spLocks noChangeArrowheads="1"/>
        </xdr:cNvSpPr>
      </xdr:nvSpPr>
      <xdr:spPr bwMode="auto">
        <a:xfrm flipH="1">
          <a:off x="10829925" y="1895475"/>
          <a:ext cx="3933825" cy="2971800"/>
        </a:xfrm>
        <a:custGeom>
          <a:avLst/>
          <a:gdLst>
            <a:gd name="T0" fmla="*/ 3610256 w 3727982"/>
            <a:gd name="T1" fmla="*/ 0 h 2754311"/>
            <a:gd name="T2" fmla="*/ 0 w 3727982"/>
            <a:gd name="T3" fmla="*/ 1866423 h 2754311"/>
            <a:gd name="T4" fmla="*/ 3610256 w 3727982"/>
            <a:gd name="T5" fmla="*/ 3732842 h 2754311"/>
            <a:gd name="T6" fmla="*/ 4622090 w 3727982"/>
            <a:gd name="T7" fmla="*/ 1866423 h 2754311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430361 w 3727982"/>
            <a:gd name="T13" fmla="*/ 688581 h 2754311"/>
            <a:gd name="T14" fmla="*/ 3319930 w 3727982"/>
            <a:gd name="T15" fmla="*/ 2065733 h 2754311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3727982" h="2754311">
              <a:moveTo>
                <a:pt x="0" y="688578"/>
              </a:moveTo>
              <a:lnTo>
                <a:pt x="86072" y="688578"/>
              </a:lnTo>
              <a:lnTo>
                <a:pt x="86072" y="2065733"/>
              </a:lnTo>
              <a:lnTo>
                <a:pt x="0" y="2065733"/>
              </a:lnTo>
              <a:lnTo>
                <a:pt x="0" y="688578"/>
              </a:lnTo>
              <a:close/>
              <a:moveTo>
                <a:pt x="172144" y="688578"/>
              </a:moveTo>
              <a:lnTo>
                <a:pt x="344289" y="688578"/>
              </a:lnTo>
              <a:lnTo>
                <a:pt x="344289" y="2065733"/>
              </a:lnTo>
              <a:lnTo>
                <a:pt x="172144" y="2065733"/>
              </a:lnTo>
              <a:lnTo>
                <a:pt x="172144" y="688578"/>
              </a:lnTo>
              <a:close/>
              <a:moveTo>
                <a:pt x="430361" y="688578"/>
              </a:moveTo>
              <a:lnTo>
                <a:pt x="2911880" y="688578"/>
              </a:lnTo>
              <a:lnTo>
                <a:pt x="2911880" y="0"/>
              </a:lnTo>
              <a:lnTo>
                <a:pt x="3727982" y="1377156"/>
              </a:lnTo>
              <a:lnTo>
                <a:pt x="2911880" y="2754311"/>
              </a:lnTo>
              <a:lnTo>
                <a:pt x="2911880" y="2065733"/>
              </a:lnTo>
              <a:lnTo>
                <a:pt x="430361" y="2065733"/>
              </a:lnTo>
              <a:lnTo>
                <a:pt x="430361" y="688578"/>
              </a:lnTo>
              <a:close/>
            </a:path>
          </a:pathLst>
        </a:custGeom>
        <a:solidFill>
          <a:srgbClr val="FFFFFF"/>
        </a:solidFill>
        <a:ln w="25400" algn="ctr">
          <a:solidFill>
            <a:srgbClr val="FFFFFF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479924</xdr:colOff>
      <xdr:row>10</xdr:row>
      <xdr:rowOff>415441</xdr:rowOff>
    </xdr:from>
    <xdr:to>
      <xdr:col>8</xdr:col>
      <xdr:colOff>630542</xdr:colOff>
      <xdr:row>14</xdr:row>
      <xdr:rowOff>87923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1030693" y="2730749"/>
          <a:ext cx="3521003" cy="1430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>
            <a:lnSpc>
              <a:spcPts val="3400"/>
            </a:lnSpc>
          </a:pPr>
          <a:r>
            <a:rPr lang="en-US" sz="3600" b="1" cap="none" spc="0">
              <a:ln w="12700">
                <a:solidFill>
                  <a:schemeClr val="tx1"/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INPUT</a:t>
          </a:r>
          <a:r>
            <a:rPr lang="en-US" sz="36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en-US" sz="3600" b="1" cap="none" spc="0">
              <a:ln w="12700">
                <a:solidFill>
                  <a:schemeClr val="tx1"/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YOUR DATA </a:t>
          </a:r>
        </a:p>
        <a:p>
          <a:pPr algn="ctr"/>
          <a:r>
            <a:rPr lang="en-US" sz="3600" b="1" cap="none" spc="0">
              <a:ln w="12700">
                <a:solidFill>
                  <a:schemeClr val="tx1"/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HERE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2</xdr:row>
      <xdr:rowOff>0</xdr:rowOff>
    </xdr:from>
    <xdr:to>
      <xdr:col>3</xdr:col>
      <xdr:colOff>981075</xdr:colOff>
      <xdr:row>9</xdr:row>
      <xdr:rowOff>0</xdr:rowOff>
    </xdr:to>
    <xdr:pic>
      <xdr:nvPicPr>
        <xdr:cNvPr id="64513" name="Picture 7" descr="Letterhead">
          <a:extLst>
            <a:ext uri="{FF2B5EF4-FFF2-40B4-BE49-F238E27FC236}">
              <a16:creationId xmlns:a16="http://schemas.microsoft.com/office/drawing/2014/main" id="{00000000-0008-0000-0900-000001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181100" y="381000"/>
          <a:ext cx="1228725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65537" name="Picture 7" descr="Letterhead">
          <a:extLst>
            <a:ext uri="{FF2B5EF4-FFF2-40B4-BE49-F238E27FC236}">
              <a16:creationId xmlns:a16="http://schemas.microsoft.com/office/drawing/2014/main" id="{00000000-0008-0000-0E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47625</xdr:colOff>
      <xdr:row>0</xdr:row>
      <xdr:rowOff>114300</xdr:rowOff>
    </xdr:from>
    <xdr:to>
      <xdr:col>16</xdr:col>
      <xdr:colOff>95250</xdr:colOff>
      <xdr:row>7</xdr:row>
      <xdr:rowOff>0</xdr:rowOff>
    </xdr:to>
    <xdr:pic>
      <xdr:nvPicPr>
        <xdr:cNvPr id="65538" name="Picture 7" descr="Letterhead">
          <a:extLst>
            <a:ext uri="{FF2B5EF4-FFF2-40B4-BE49-F238E27FC236}">
              <a16:creationId xmlns:a16="http://schemas.microsoft.com/office/drawing/2014/main" id="{00000000-0008-0000-0E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87439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47625</xdr:colOff>
      <xdr:row>0</xdr:row>
      <xdr:rowOff>114300</xdr:rowOff>
    </xdr:from>
    <xdr:to>
      <xdr:col>28</xdr:col>
      <xdr:colOff>95250</xdr:colOff>
      <xdr:row>7</xdr:row>
      <xdr:rowOff>0</xdr:rowOff>
    </xdr:to>
    <xdr:pic>
      <xdr:nvPicPr>
        <xdr:cNvPr id="65539" name="Picture 7" descr="Letterhead">
          <a:extLst>
            <a:ext uri="{FF2B5EF4-FFF2-40B4-BE49-F238E27FC236}">
              <a16:creationId xmlns:a16="http://schemas.microsoft.com/office/drawing/2014/main" id="{00000000-0008-0000-0E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645920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38</xdr:col>
      <xdr:colOff>47625</xdr:colOff>
      <xdr:row>0</xdr:row>
      <xdr:rowOff>114300</xdr:rowOff>
    </xdr:from>
    <xdr:to>
      <xdr:col>40</xdr:col>
      <xdr:colOff>95250</xdr:colOff>
      <xdr:row>7</xdr:row>
      <xdr:rowOff>0</xdr:rowOff>
    </xdr:to>
    <xdr:pic>
      <xdr:nvPicPr>
        <xdr:cNvPr id="65540" name="Picture 7" descr="Letterhead">
          <a:extLst>
            <a:ext uri="{FF2B5EF4-FFF2-40B4-BE49-F238E27FC236}">
              <a16:creationId xmlns:a16="http://schemas.microsoft.com/office/drawing/2014/main" id="{00000000-0008-0000-0E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24241125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50</xdr:col>
      <xdr:colOff>76200</xdr:colOff>
      <xdr:row>0</xdr:row>
      <xdr:rowOff>114300</xdr:rowOff>
    </xdr:from>
    <xdr:to>
      <xdr:col>52</xdr:col>
      <xdr:colOff>123825</xdr:colOff>
      <xdr:row>7</xdr:row>
      <xdr:rowOff>0</xdr:rowOff>
    </xdr:to>
    <xdr:pic>
      <xdr:nvPicPr>
        <xdr:cNvPr id="65541" name="Picture 7" descr="Letterhead">
          <a:extLst>
            <a:ext uri="{FF2B5EF4-FFF2-40B4-BE49-F238E27FC236}">
              <a16:creationId xmlns:a16="http://schemas.microsoft.com/office/drawing/2014/main" id="{00000000-0008-0000-0E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3200400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62</xdr:col>
      <xdr:colOff>76200</xdr:colOff>
      <xdr:row>0</xdr:row>
      <xdr:rowOff>114300</xdr:rowOff>
    </xdr:from>
    <xdr:to>
      <xdr:col>64</xdr:col>
      <xdr:colOff>123825</xdr:colOff>
      <xdr:row>7</xdr:row>
      <xdr:rowOff>0</xdr:rowOff>
    </xdr:to>
    <xdr:pic>
      <xdr:nvPicPr>
        <xdr:cNvPr id="65542" name="Picture 7" descr="Letterhead">
          <a:extLst>
            <a:ext uri="{FF2B5EF4-FFF2-40B4-BE49-F238E27FC236}">
              <a16:creationId xmlns:a16="http://schemas.microsoft.com/office/drawing/2014/main" id="{00000000-0008-0000-0E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397573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74</xdr:col>
      <xdr:colOff>76200</xdr:colOff>
      <xdr:row>0</xdr:row>
      <xdr:rowOff>114300</xdr:rowOff>
    </xdr:from>
    <xdr:to>
      <xdr:col>76</xdr:col>
      <xdr:colOff>123825</xdr:colOff>
      <xdr:row>7</xdr:row>
      <xdr:rowOff>0</xdr:rowOff>
    </xdr:to>
    <xdr:pic>
      <xdr:nvPicPr>
        <xdr:cNvPr id="65543" name="Picture 7" descr="Letterhead">
          <a:extLst>
            <a:ext uri="{FF2B5EF4-FFF2-40B4-BE49-F238E27FC236}">
              <a16:creationId xmlns:a16="http://schemas.microsoft.com/office/drawing/2014/main" id="{00000000-0008-0000-0E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475297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86</xdr:col>
      <xdr:colOff>76200</xdr:colOff>
      <xdr:row>0</xdr:row>
      <xdr:rowOff>114300</xdr:rowOff>
    </xdr:from>
    <xdr:to>
      <xdr:col>88</xdr:col>
      <xdr:colOff>123825</xdr:colOff>
      <xdr:row>7</xdr:row>
      <xdr:rowOff>0</xdr:rowOff>
    </xdr:to>
    <xdr:pic>
      <xdr:nvPicPr>
        <xdr:cNvPr id="65544" name="Picture 7" descr="Letterhead">
          <a:extLst>
            <a:ext uri="{FF2B5EF4-FFF2-40B4-BE49-F238E27FC236}">
              <a16:creationId xmlns:a16="http://schemas.microsoft.com/office/drawing/2014/main" id="{00000000-0008-0000-0E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55254525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98</xdr:col>
      <xdr:colOff>76200</xdr:colOff>
      <xdr:row>0</xdr:row>
      <xdr:rowOff>114300</xdr:rowOff>
    </xdr:from>
    <xdr:to>
      <xdr:col>100</xdr:col>
      <xdr:colOff>123825</xdr:colOff>
      <xdr:row>7</xdr:row>
      <xdr:rowOff>0</xdr:rowOff>
    </xdr:to>
    <xdr:pic>
      <xdr:nvPicPr>
        <xdr:cNvPr id="65545" name="Picture 7" descr="Letterhead">
          <a:extLst>
            <a:ext uri="{FF2B5EF4-FFF2-40B4-BE49-F238E27FC236}">
              <a16:creationId xmlns:a16="http://schemas.microsoft.com/office/drawing/2014/main" id="{00000000-0008-0000-0E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62988825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110</xdr:col>
      <xdr:colOff>76200</xdr:colOff>
      <xdr:row>0</xdr:row>
      <xdr:rowOff>114300</xdr:rowOff>
    </xdr:from>
    <xdr:to>
      <xdr:col>112</xdr:col>
      <xdr:colOff>123825</xdr:colOff>
      <xdr:row>7</xdr:row>
      <xdr:rowOff>0</xdr:rowOff>
    </xdr:to>
    <xdr:pic>
      <xdr:nvPicPr>
        <xdr:cNvPr id="65546" name="Picture 7" descr="Letterhead">
          <a:extLst>
            <a:ext uri="{FF2B5EF4-FFF2-40B4-BE49-F238E27FC236}">
              <a16:creationId xmlns:a16="http://schemas.microsoft.com/office/drawing/2014/main" id="{00000000-0008-0000-0E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70761225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122</xdr:col>
      <xdr:colOff>76200</xdr:colOff>
      <xdr:row>0</xdr:row>
      <xdr:rowOff>114300</xdr:rowOff>
    </xdr:from>
    <xdr:to>
      <xdr:col>124</xdr:col>
      <xdr:colOff>123825</xdr:colOff>
      <xdr:row>7</xdr:row>
      <xdr:rowOff>0</xdr:rowOff>
    </xdr:to>
    <xdr:pic>
      <xdr:nvPicPr>
        <xdr:cNvPr id="65547" name="Picture 7" descr="Letterhead">
          <a:extLst>
            <a:ext uri="{FF2B5EF4-FFF2-40B4-BE49-F238E27FC236}">
              <a16:creationId xmlns:a16="http://schemas.microsoft.com/office/drawing/2014/main" id="{00000000-0008-0000-0E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78533625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134</xdr:col>
      <xdr:colOff>76200</xdr:colOff>
      <xdr:row>0</xdr:row>
      <xdr:rowOff>114300</xdr:rowOff>
    </xdr:from>
    <xdr:to>
      <xdr:col>136</xdr:col>
      <xdr:colOff>123825</xdr:colOff>
      <xdr:row>7</xdr:row>
      <xdr:rowOff>0</xdr:rowOff>
    </xdr:to>
    <xdr:pic>
      <xdr:nvPicPr>
        <xdr:cNvPr id="65548" name="Picture 7" descr="Letterhead">
          <a:extLst>
            <a:ext uri="{FF2B5EF4-FFF2-40B4-BE49-F238E27FC236}">
              <a16:creationId xmlns:a16="http://schemas.microsoft.com/office/drawing/2014/main" id="{00000000-0008-0000-0E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86286975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147</xdr:col>
      <xdr:colOff>66675</xdr:colOff>
      <xdr:row>0</xdr:row>
      <xdr:rowOff>114300</xdr:rowOff>
    </xdr:from>
    <xdr:to>
      <xdr:col>149</xdr:col>
      <xdr:colOff>123825</xdr:colOff>
      <xdr:row>7</xdr:row>
      <xdr:rowOff>0</xdr:rowOff>
    </xdr:to>
    <xdr:pic>
      <xdr:nvPicPr>
        <xdr:cNvPr id="65549" name="Picture 7" descr="Letterhead">
          <a:extLst>
            <a:ext uri="{FF2B5EF4-FFF2-40B4-BE49-F238E27FC236}">
              <a16:creationId xmlns:a16="http://schemas.microsoft.com/office/drawing/2014/main" id="{00000000-0008-0000-0E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4307025" y="114300"/>
          <a:ext cx="1066800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159</xdr:col>
      <xdr:colOff>76200</xdr:colOff>
      <xdr:row>0</xdr:row>
      <xdr:rowOff>114300</xdr:rowOff>
    </xdr:from>
    <xdr:to>
      <xdr:col>161</xdr:col>
      <xdr:colOff>123825</xdr:colOff>
      <xdr:row>7</xdr:row>
      <xdr:rowOff>0</xdr:rowOff>
    </xdr:to>
    <xdr:pic>
      <xdr:nvPicPr>
        <xdr:cNvPr id="65550" name="Picture 7" descr="Letterhead">
          <a:extLst>
            <a:ext uri="{FF2B5EF4-FFF2-40B4-BE49-F238E27FC236}">
              <a16:creationId xmlns:a16="http://schemas.microsoft.com/office/drawing/2014/main" id="{00000000-0008-0000-0E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02079425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171</xdr:col>
      <xdr:colOff>76200</xdr:colOff>
      <xdr:row>0</xdr:row>
      <xdr:rowOff>114300</xdr:rowOff>
    </xdr:from>
    <xdr:to>
      <xdr:col>173</xdr:col>
      <xdr:colOff>123825</xdr:colOff>
      <xdr:row>7</xdr:row>
      <xdr:rowOff>0</xdr:rowOff>
    </xdr:to>
    <xdr:pic>
      <xdr:nvPicPr>
        <xdr:cNvPr id="65551" name="Picture 7" descr="Letterhead">
          <a:extLst>
            <a:ext uri="{FF2B5EF4-FFF2-40B4-BE49-F238E27FC236}">
              <a16:creationId xmlns:a16="http://schemas.microsoft.com/office/drawing/2014/main" id="{00000000-0008-0000-0E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097089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183</xdr:col>
      <xdr:colOff>76200</xdr:colOff>
      <xdr:row>0</xdr:row>
      <xdr:rowOff>114300</xdr:rowOff>
    </xdr:from>
    <xdr:to>
      <xdr:col>185</xdr:col>
      <xdr:colOff>123825</xdr:colOff>
      <xdr:row>7</xdr:row>
      <xdr:rowOff>0</xdr:rowOff>
    </xdr:to>
    <xdr:pic>
      <xdr:nvPicPr>
        <xdr:cNvPr id="65552" name="Picture 7" descr="Letterhead">
          <a:extLst>
            <a:ext uri="{FF2B5EF4-FFF2-40B4-BE49-F238E27FC236}">
              <a16:creationId xmlns:a16="http://schemas.microsoft.com/office/drawing/2014/main" id="{00000000-0008-0000-0E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17414675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195</xdr:col>
      <xdr:colOff>76200</xdr:colOff>
      <xdr:row>0</xdr:row>
      <xdr:rowOff>114300</xdr:rowOff>
    </xdr:from>
    <xdr:to>
      <xdr:col>197</xdr:col>
      <xdr:colOff>123825</xdr:colOff>
      <xdr:row>7</xdr:row>
      <xdr:rowOff>0</xdr:rowOff>
    </xdr:to>
    <xdr:pic>
      <xdr:nvPicPr>
        <xdr:cNvPr id="65553" name="Picture 7" descr="Letterhead">
          <a:extLst>
            <a:ext uri="{FF2B5EF4-FFF2-40B4-BE49-F238E27FC236}">
              <a16:creationId xmlns:a16="http://schemas.microsoft.com/office/drawing/2014/main" id="{00000000-0008-0000-0E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25129925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207</xdr:col>
      <xdr:colOff>76200</xdr:colOff>
      <xdr:row>0</xdr:row>
      <xdr:rowOff>114300</xdr:rowOff>
    </xdr:from>
    <xdr:to>
      <xdr:col>209</xdr:col>
      <xdr:colOff>123825</xdr:colOff>
      <xdr:row>7</xdr:row>
      <xdr:rowOff>0</xdr:rowOff>
    </xdr:to>
    <xdr:pic>
      <xdr:nvPicPr>
        <xdr:cNvPr id="65554" name="Picture 7" descr="Letterhead">
          <a:extLst>
            <a:ext uri="{FF2B5EF4-FFF2-40B4-BE49-F238E27FC236}">
              <a16:creationId xmlns:a16="http://schemas.microsoft.com/office/drawing/2014/main" id="{00000000-0008-0000-0E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32883275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219</xdr:col>
      <xdr:colOff>76200</xdr:colOff>
      <xdr:row>0</xdr:row>
      <xdr:rowOff>114300</xdr:rowOff>
    </xdr:from>
    <xdr:to>
      <xdr:col>221</xdr:col>
      <xdr:colOff>123825</xdr:colOff>
      <xdr:row>7</xdr:row>
      <xdr:rowOff>0</xdr:rowOff>
    </xdr:to>
    <xdr:pic>
      <xdr:nvPicPr>
        <xdr:cNvPr id="65555" name="Picture 7" descr="Letterhead">
          <a:extLst>
            <a:ext uri="{FF2B5EF4-FFF2-40B4-BE49-F238E27FC236}">
              <a16:creationId xmlns:a16="http://schemas.microsoft.com/office/drawing/2014/main" id="{00000000-0008-0000-0E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4051280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231</xdr:col>
      <xdr:colOff>76200</xdr:colOff>
      <xdr:row>0</xdr:row>
      <xdr:rowOff>114300</xdr:rowOff>
    </xdr:from>
    <xdr:to>
      <xdr:col>233</xdr:col>
      <xdr:colOff>123825</xdr:colOff>
      <xdr:row>7</xdr:row>
      <xdr:rowOff>0</xdr:rowOff>
    </xdr:to>
    <xdr:pic>
      <xdr:nvPicPr>
        <xdr:cNvPr id="65556" name="Picture 7" descr="Letterhead">
          <a:extLst>
            <a:ext uri="{FF2B5EF4-FFF2-40B4-BE49-F238E27FC236}">
              <a16:creationId xmlns:a16="http://schemas.microsoft.com/office/drawing/2014/main" id="{00000000-0008-0000-0E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4824710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561975</xdr:colOff>
      <xdr:row>44</xdr:row>
      <xdr:rowOff>114300</xdr:rowOff>
    </xdr:from>
    <xdr:to>
      <xdr:col>4</xdr:col>
      <xdr:colOff>47625</xdr:colOff>
      <xdr:row>51</xdr:row>
      <xdr:rowOff>0</xdr:rowOff>
    </xdr:to>
    <xdr:pic>
      <xdr:nvPicPr>
        <xdr:cNvPr id="65557" name="Picture 7" descr="Letterhead">
          <a:extLst>
            <a:ext uri="{FF2B5EF4-FFF2-40B4-BE49-F238E27FC236}">
              <a16:creationId xmlns:a16="http://schemas.microsoft.com/office/drawing/2014/main" id="{00000000-0008-0000-0E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85344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38100</xdr:colOff>
      <xdr:row>44</xdr:row>
      <xdr:rowOff>114300</xdr:rowOff>
    </xdr:from>
    <xdr:to>
      <xdr:col>17</xdr:col>
      <xdr:colOff>0</xdr:colOff>
      <xdr:row>51</xdr:row>
      <xdr:rowOff>0</xdr:rowOff>
    </xdr:to>
    <xdr:pic>
      <xdr:nvPicPr>
        <xdr:cNvPr id="65558" name="Picture 7" descr="Letterhead">
          <a:extLst>
            <a:ext uri="{FF2B5EF4-FFF2-40B4-BE49-F238E27FC236}">
              <a16:creationId xmlns:a16="http://schemas.microsoft.com/office/drawing/2014/main" id="{00000000-0008-0000-0E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8734425" y="8534400"/>
          <a:ext cx="1104900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38100</xdr:colOff>
      <xdr:row>44</xdr:row>
      <xdr:rowOff>114300</xdr:rowOff>
    </xdr:from>
    <xdr:to>
      <xdr:col>29</xdr:col>
      <xdr:colOff>0</xdr:colOff>
      <xdr:row>51</xdr:row>
      <xdr:rowOff>0</xdr:rowOff>
    </xdr:to>
    <xdr:pic>
      <xdr:nvPicPr>
        <xdr:cNvPr id="65559" name="Picture 7" descr="Letterhead">
          <a:extLst>
            <a:ext uri="{FF2B5EF4-FFF2-40B4-BE49-F238E27FC236}">
              <a16:creationId xmlns:a16="http://schemas.microsoft.com/office/drawing/2014/main" id="{00000000-0008-0000-0E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6449675" y="8534400"/>
          <a:ext cx="1104900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38</xdr:col>
      <xdr:colOff>19050</xdr:colOff>
      <xdr:row>44</xdr:row>
      <xdr:rowOff>114300</xdr:rowOff>
    </xdr:from>
    <xdr:to>
      <xdr:col>40</xdr:col>
      <xdr:colOff>123825</xdr:colOff>
      <xdr:row>51</xdr:row>
      <xdr:rowOff>0</xdr:rowOff>
    </xdr:to>
    <xdr:pic>
      <xdr:nvPicPr>
        <xdr:cNvPr id="65560" name="Picture 7" descr="Letterhead">
          <a:extLst>
            <a:ext uri="{FF2B5EF4-FFF2-40B4-BE49-F238E27FC236}">
              <a16:creationId xmlns:a16="http://schemas.microsoft.com/office/drawing/2014/main" id="{00000000-0008-0000-0E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24212550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50</xdr:col>
      <xdr:colOff>19050</xdr:colOff>
      <xdr:row>44</xdr:row>
      <xdr:rowOff>114300</xdr:rowOff>
    </xdr:from>
    <xdr:to>
      <xdr:col>52</xdr:col>
      <xdr:colOff>123825</xdr:colOff>
      <xdr:row>51</xdr:row>
      <xdr:rowOff>0</xdr:rowOff>
    </xdr:to>
    <xdr:pic>
      <xdr:nvPicPr>
        <xdr:cNvPr id="65561" name="Picture 7" descr="Letterhead">
          <a:extLst>
            <a:ext uri="{FF2B5EF4-FFF2-40B4-BE49-F238E27FC236}">
              <a16:creationId xmlns:a16="http://schemas.microsoft.com/office/drawing/2014/main" id="{00000000-0008-0000-0E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31946850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62</xdr:col>
      <xdr:colOff>19050</xdr:colOff>
      <xdr:row>44</xdr:row>
      <xdr:rowOff>114300</xdr:rowOff>
    </xdr:from>
    <xdr:to>
      <xdr:col>64</xdr:col>
      <xdr:colOff>123825</xdr:colOff>
      <xdr:row>51</xdr:row>
      <xdr:rowOff>0</xdr:rowOff>
    </xdr:to>
    <xdr:pic>
      <xdr:nvPicPr>
        <xdr:cNvPr id="65562" name="Picture 7" descr="Letterhead">
          <a:extLst>
            <a:ext uri="{FF2B5EF4-FFF2-40B4-BE49-F238E27FC236}">
              <a16:creationId xmlns:a16="http://schemas.microsoft.com/office/drawing/2014/main" id="{00000000-0008-0000-0E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39700200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74</xdr:col>
      <xdr:colOff>19050</xdr:colOff>
      <xdr:row>44</xdr:row>
      <xdr:rowOff>114300</xdr:rowOff>
    </xdr:from>
    <xdr:to>
      <xdr:col>76</xdr:col>
      <xdr:colOff>123825</xdr:colOff>
      <xdr:row>51</xdr:row>
      <xdr:rowOff>0</xdr:rowOff>
    </xdr:to>
    <xdr:pic>
      <xdr:nvPicPr>
        <xdr:cNvPr id="65563" name="Picture 7" descr="Letterhead">
          <a:extLst>
            <a:ext uri="{FF2B5EF4-FFF2-40B4-BE49-F238E27FC236}">
              <a16:creationId xmlns:a16="http://schemas.microsoft.com/office/drawing/2014/main" id="{00000000-0008-0000-0E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47472600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86</xdr:col>
      <xdr:colOff>19050</xdr:colOff>
      <xdr:row>44</xdr:row>
      <xdr:rowOff>114300</xdr:rowOff>
    </xdr:from>
    <xdr:to>
      <xdr:col>88</xdr:col>
      <xdr:colOff>123825</xdr:colOff>
      <xdr:row>51</xdr:row>
      <xdr:rowOff>0</xdr:rowOff>
    </xdr:to>
    <xdr:pic>
      <xdr:nvPicPr>
        <xdr:cNvPr id="65564" name="Picture 7" descr="Letterhead">
          <a:extLst>
            <a:ext uri="{FF2B5EF4-FFF2-40B4-BE49-F238E27FC236}">
              <a16:creationId xmlns:a16="http://schemas.microsoft.com/office/drawing/2014/main" id="{00000000-0008-0000-0E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55197375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98</xdr:col>
      <xdr:colOff>19050</xdr:colOff>
      <xdr:row>44</xdr:row>
      <xdr:rowOff>114300</xdr:rowOff>
    </xdr:from>
    <xdr:to>
      <xdr:col>100</xdr:col>
      <xdr:colOff>123825</xdr:colOff>
      <xdr:row>51</xdr:row>
      <xdr:rowOff>0</xdr:rowOff>
    </xdr:to>
    <xdr:pic>
      <xdr:nvPicPr>
        <xdr:cNvPr id="65565" name="Picture 7" descr="Letterhead">
          <a:extLst>
            <a:ext uri="{FF2B5EF4-FFF2-40B4-BE49-F238E27FC236}">
              <a16:creationId xmlns:a16="http://schemas.microsoft.com/office/drawing/2014/main" id="{00000000-0008-0000-0E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62931675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110</xdr:col>
      <xdr:colOff>19050</xdr:colOff>
      <xdr:row>44</xdr:row>
      <xdr:rowOff>114300</xdr:rowOff>
    </xdr:from>
    <xdr:to>
      <xdr:col>112</xdr:col>
      <xdr:colOff>123825</xdr:colOff>
      <xdr:row>51</xdr:row>
      <xdr:rowOff>0</xdr:rowOff>
    </xdr:to>
    <xdr:pic>
      <xdr:nvPicPr>
        <xdr:cNvPr id="65566" name="Picture 7" descr="Letterhead">
          <a:extLst>
            <a:ext uri="{FF2B5EF4-FFF2-40B4-BE49-F238E27FC236}">
              <a16:creationId xmlns:a16="http://schemas.microsoft.com/office/drawing/2014/main" id="{00000000-0008-0000-0E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70704075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122</xdr:col>
      <xdr:colOff>19050</xdr:colOff>
      <xdr:row>44</xdr:row>
      <xdr:rowOff>114300</xdr:rowOff>
    </xdr:from>
    <xdr:to>
      <xdr:col>124</xdr:col>
      <xdr:colOff>123825</xdr:colOff>
      <xdr:row>51</xdr:row>
      <xdr:rowOff>0</xdr:rowOff>
    </xdr:to>
    <xdr:pic>
      <xdr:nvPicPr>
        <xdr:cNvPr id="65567" name="Picture 7" descr="Letterhead">
          <a:extLst>
            <a:ext uri="{FF2B5EF4-FFF2-40B4-BE49-F238E27FC236}">
              <a16:creationId xmlns:a16="http://schemas.microsoft.com/office/drawing/2014/main" id="{00000000-0008-0000-0E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78476475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134</xdr:col>
      <xdr:colOff>19050</xdr:colOff>
      <xdr:row>44</xdr:row>
      <xdr:rowOff>114300</xdr:rowOff>
    </xdr:from>
    <xdr:to>
      <xdr:col>136</xdr:col>
      <xdr:colOff>123825</xdr:colOff>
      <xdr:row>51</xdr:row>
      <xdr:rowOff>0</xdr:rowOff>
    </xdr:to>
    <xdr:pic>
      <xdr:nvPicPr>
        <xdr:cNvPr id="65568" name="Picture 7" descr="Letterhead">
          <a:extLst>
            <a:ext uri="{FF2B5EF4-FFF2-40B4-BE49-F238E27FC236}">
              <a16:creationId xmlns:a16="http://schemas.microsoft.com/office/drawing/2014/main" id="{00000000-0008-0000-0E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86229825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147</xdr:col>
      <xdr:colOff>66675</xdr:colOff>
      <xdr:row>44</xdr:row>
      <xdr:rowOff>114300</xdr:rowOff>
    </xdr:from>
    <xdr:to>
      <xdr:col>149</xdr:col>
      <xdr:colOff>123825</xdr:colOff>
      <xdr:row>51</xdr:row>
      <xdr:rowOff>0</xdr:rowOff>
    </xdr:to>
    <xdr:pic>
      <xdr:nvPicPr>
        <xdr:cNvPr id="65569" name="Picture 7" descr="Letterhead">
          <a:extLst>
            <a:ext uri="{FF2B5EF4-FFF2-40B4-BE49-F238E27FC236}">
              <a16:creationId xmlns:a16="http://schemas.microsoft.com/office/drawing/2014/main" id="{00000000-0008-0000-0E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4307025" y="8534400"/>
          <a:ext cx="1066800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159</xdr:col>
      <xdr:colOff>19050</xdr:colOff>
      <xdr:row>44</xdr:row>
      <xdr:rowOff>114300</xdr:rowOff>
    </xdr:from>
    <xdr:to>
      <xdr:col>161</xdr:col>
      <xdr:colOff>123825</xdr:colOff>
      <xdr:row>51</xdr:row>
      <xdr:rowOff>0</xdr:rowOff>
    </xdr:to>
    <xdr:pic>
      <xdr:nvPicPr>
        <xdr:cNvPr id="65570" name="Picture 7" descr="Letterhead">
          <a:extLst>
            <a:ext uri="{FF2B5EF4-FFF2-40B4-BE49-F238E27FC236}">
              <a16:creationId xmlns:a16="http://schemas.microsoft.com/office/drawing/2014/main" id="{00000000-0008-0000-0E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02022275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171</xdr:col>
      <xdr:colOff>19050</xdr:colOff>
      <xdr:row>44</xdr:row>
      <xdr:rowOff>114300</xdr:rowOff>
    </xdr:from>
    <xdr:to>
      <xdr:col>173</xdr:col>
      <xdr:colOff>123825</xdr:colOff>
      <xdr:row>51</xdr:row>
      <xdr:rowOff>0</xdr:rowOff>
    </xdr:to>
    <xdr:pic>
      <xdr:nvPicPr>
        <xdr:cNvPr id="65571" name="Picture 7" descr="Letterhead">
          <a:extLst>
            <a:ext uri="{FF2B5EF4-FFF2-40B4-BE49-F238E27FC236}">
              <a16:creationId xmlns:a16="http://schemas.microsoft.com/office/drawing/2014/main" id="{00000000-0008-0000-0E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09651800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183</xdr:col>
      <xdr:colOff>19050</xdr:colOff>
      <xdr:row>44</xdr:row>
      <xdr:rowOff>114300</xdr:rowOff>
    </xdr:from>
    <xdr:to>
      <xdr:col>185</xdr:col>
      <xdr:colOff>123825</xdr:colOff>
      <xdr:row>51</xdr:row>
      <xdr:rowOff>0</xdr:rowOff>
    </xdr:to>
    <xdr:pic>
      <xdr:nvPicPr>
        <xdr:cNvPr id="65572" name="Picture 7" descr="Letterhead">
          <a:extLst>
            <a:ext uri="{FF2B5EF4-FFF2-40B4-BE49-F238E27FC236}">
              <a16:creationId xmlns:a16="http://schemas.microsoft.com/office/drawing/2014/main" id="{00000000-0008-0000-0E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17357525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195</xdr:col>
      <xdr:colOff>19050</xdr:colOff>
      <xdr:row>44</xdr:row>
      <xdr:rowOff>114300</xdr:rowOff>
    </xdr:from>
    <xdr:to>
      <xdr:col>197</xdr:col>
      <xdr:colOff>123825</xdr:colOff>
      <xdr:row>51</xdr:row>
      <xdr:rowOff>0</xdr:rowOff>
    </xdr:to>
    <xdr:pic>
      <xdr:nvPicPr>
        <xdr:cNvPr id="65573" name="Picture 7" descr="Letterhead">
          <a:extLst>
            <a:ext uri="{FF2B5EF4-FFF2-40B4-BE49-F238E27FC236}">
              <a16:creationId xmlns:a16="http://schemas.microsoft.com/office/drawing/2014/main" id="{00000000-0008-0000-0E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25072775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207</xdr:col>
      <xdr:colOff>19050</xdr:colOff>
      <xdr:row>44</xdr:row>
      <xdr:rowOff>114300</xdr:rowOff>
    </xdr:from>
    <xdr:to>
      <xdr:col>209</xdr:col>
      <xdr:colOff>123825</xdr:colOff>
      <xdr:row>51</xdr:row>
      <xdr:rowOff>0</xdr:rowOff>
    </xdr:to>
    <xdr:pic>
      <xdr:nvPicPr>
        <xdr:cNvPr id="65574" name="Picture 7" descr="Letterhead">
          <a:extLst>
            <a:ext uri="{FF2B5EF4-FFF2-40B4-BE49-F238E27FC236}">
              <a16:creationId xmlns:a16="http://schemas.microsoft.com/office/drawing/2014/main" id="{00000000-0008-0000-0E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32826125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219</xdr:col>
      <xdr:colOff>19050</xdr:colOff>
      <xdr:row>44</xdr:row>
      <xdr:rowOff>114300</xdr:rowOff>
    </xdr:from>
    <xdr:to>
      <xdr:col>221</xdr:col>
      <xdr:colOff>123825</xdr:colOff>
      <xdr:row>51</xdr:row>
      <xdr:rowOff>0</xdr:rowOff>
    </xdr:to>
    <xdr:pic>
      <xdr:nvPicPr>
        <xdr:cNvPr id="65575" name="Picture 7" descr="Letterhead">
          <a:extLst>
            <a:ext uri="{FF2B5EF4-FFF2-40B4-BE49-F238E27FC236}">
              <a16:creationId xmlns:a16="http://schemas.microsoft.com/office/drawing/2014/main" id="{00000000-0008-0000-0E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40455650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231</xdr:col>
      <xdr:colOff>19050</xdr:colOff>
      <xdr:row>44</xdr:row>
      <xdr:rowOff>114300</xdr:rowOff>
    </xdr:from>
    <xdr:to>
      <xdr:col>233</xdr:col>
      <xdr:colOff>123825</xdr:colOff>
      <xdr:row>51</xdr:row>
      <xdr:rowOff>0</xdr:rowOff>
    </xdr:to>
    <xdr:pic>
      <xdr:nvPicPr>
        <xdr:cNvPr id="65576" name="Picture 7" descr="Letterhead">
          <a:extLst>
            <a:ext uri="{FF2B5EF4-FFF2-40B4-BE49-F238E27FC236}">
              <a16:creationId xmlns:a16="http://schemas.microsoft.com/office/drawing/2014/main" id="{00000000-0008-0000-0E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148189950" y="8534400"/>
          <a:ext cx="11144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66561" name="Picture 7" descr="Letterhead">
          <a:extLst>
            <a:ext uri="{FF2B5EF4-FFF2-40B4-BE49-F238E27FC236}">
              <a16:creationId xmlns:a16="http://schemas.microsoft.com/office/drawing/2014/main" id="{00000000-0008-0000-0F00-000001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67585" name="Picture 7" descr="Letterhead">
          <a:extLst>
            <a:ext uri="{FF2B5EF4-FFF2-40B4-BE49-F238E27FC236}">
              <a16:creationId xmlns:a16="http://schemas.microsoft.com/office/drawing/2014/main" id="{00000000-0008-0000-1000-000001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68609" name="Picture 7" descr="Letterhead">
          <a:extLst>
            <a:ext uri="{FF2B5EF4-FFF2-40B4-BE49-F238E27FC236}">
              <a16:creationId xmlns:a16="http://schemas.microsoft.com/office/drawing/2014/main" id="{00000000-0008-0000-1100-000001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69633" name="Picture 7" descr="Letterhead">
          <a:extLst>
            <a:ext uri="{FF2B5EF4-FFF2-40B4-BE49-F238E27FC236}">
              <a16:creationId xmlns:a16="http://schemas.microsoft.com/office/drawing/2014/main" id="{00000000-0008-0000-1200-0000011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70657" name="Picture 7" descr="Letterhead">
          <a:extLst>
            <a:ext uri="{FF2B5EF4-FFF2-40B4-BE49-F238E27FC236}">
              <a16:creationId xmlns:a16="http://schemas.microsoft.com/office/drawing/2014/main" id="{00000000-0008-0000-1300-000001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71681" name="Picture 7" descr="Letterhead">
          <a:extLst>
            <a:ext uri="{FF2B5EF4-FFF2-40B4-BE49-F238E27FC236}">
              <a16:creationId xmlns:a16="http://schemas.microsoft.com/office/drawing/2014/main" id="{00000000-0008-0000-1400-000001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72705" name="Picture 7" descr="Letterhead">
          <a:extLst>
            <a:ext uri="{FF2B5EF4-FFF2-40B4-BE49-F238E27FC236}">
              <a16:creationId xmlns:a16="http://schemas.microsoft.com/office/drawing/2014/main" id="{00000000-0008-0000-1500-0000011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73729" name="Picture 7" descr="Letterhead">
          <a:extLst>
            <a:ext uri="{FF2B5EF4-FFF2-40B4-BE49-F238E27FC236}">
              <a16:creationId xmlns:a16="http://schemas.microsoft.com/office/drawing/2014/main" id="{00000000-0008-0000-1600-0000012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74753" name="Picture 7" descr="Letterhead">
          <a:extLst>
            <a:ext uri="{FF2B5EF4-FFF2-40B4-BE49-F238E27FC236}">
              <a16:creationId xmlns:a16="http://schemas.microsoft.com/office/drawing/2014/main" id="{00000000-0008-0000-1700-0000012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75777" name="Picture 7" descr="Letterhead">
          <a:extLst>
            <a:ext uri="{FF2B5EF4-FFF2-40B4-BE49-F238E27FC236}">
              <a16:creationId xmlns:a16="http://schemas.microsoft.com/office/drawing/2014/main" id="{00000000-0008-0000-1800-0000012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76801" name="Picture 7" descr="Letterhead">
          <a:extLst>
            <a:ext uri="{FF2B5EF4-FFF2-40B4-BE49-F238E27FC236}">
              <a16:creationId xmlns:a16="http://schemas.microsoft.com/office/drawing/2014/main" id="{00000000-0008-0000-1900-0000012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77825" name="Picture 7" descr="Letterhead">
          <a:extLst>
            <a:ext uri="{FF2B5EF4-FFF2-40B4-BE49-F238E27FC236}">
              <a16:creationId xmlns:a16="http://schemas.microsoft.com/office/drawing/2014/main" id="{00000000-0008-0000-1A00-0000013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78849" name="Picture 7" descr="Letterhead">
          <a:extLst>
            <a:ext uri="{FF2B5EF4-FFF2-40B4-BE49-F238E27FC236}">
              <a16:creationId xmlns:a16="http://schemas.microsoft.com/office/drawing/2014/main" id="{00000000-0008-0000-1B00-0000013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79873" name="Picture 7" descr="Letterhead">
          <a:extLst>
            <a:ext uri="{FF2B5EF4-FFF2-40B4-BE49-F238E27FC236}">
              <a16:creationId xmlns:a16="http://schemas.microsoft.com/office/drawing/2014/main" id="{00000000-0008-0000-1C00-0000013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80897" name="Picture 7" descr="Letterhead">
          <a:extLst>
            <a:ext uri="{FF2B5EF4-FFF2-40B4-BE49-F238E27FC236}">
              <a16:creationId xmlns:a16="http://schemas.microsoft.com/office/drawing/2014/main" id="{00000000-0008-0000-1D00-0000013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81921" name="Picture 7" descr="Letterhead">
          <a:extLst>
            <a:ext uri="{FF2B5EF4-FFF2-40B4-BE49-F238E27FC236}">
              <a16:creationId xmlns:a16="http://schemas.microsoft.com/office/drawing/2014/main" id="{00000000-0008-0000-1E00-0000014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82945" name="Picture 7" descr="Letterhead">
          <a:extLst>
            <a:ext uri="{FF2B5EF4-FFF2-40B4-BE49-F238E27FC236}">
              <a16:creationId xmlns:a16="http://schemas.microsoft.com/office/drawing/2014/main" id="{00000000-0008-0000-1F00-0000014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83969" name="Picture 7" descr="Letterhead">
          <a:extLst>
            <a:ext uri="{FF2B5EF4-FFF2-40B4-BE49-F238E27FC236}">
              <a16:creationId xmlns:a16="http://schemas.microsoft.com/office/drawing/2014/main" id="{00000000-0008-0000-2000-0000014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114300</xdr:rowOff>
    </xdr:from>
    <xdr:to>
      <xdr:col>4</xdr:col>
      <xdr:colOff>47625</xdr:colOff>
      <xdr:row>7</xdr:row>
      <xdr:rowOff>0</xdr:rowOff>
    </xdr:to>
    <xdr:pic>
      <xdr:nvPicPr>
        <xdr:cNvPr id="84993" name="Picture 7" descr="Letterhead">
          <a:extLst>
            <a:ext uri="{FF2B5EF4-FFF2-40B4-BE49-F238E27FC236}">
              <a16:creationId xmlns:a16="http://schemas.microsoft.com/office/drawing/2014/main" id="{00000000-0008-0000-2100-000001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96" t="13515" r="81348"/>
        <a:stretch>
          <a:fillRect/>
        </a:stretch>
      </xdr:blipFill>
      <xdr:spPr bwMode="auto">
        <a:xfrm>
          <a:off x="933450" y="114300"/>
          <a:ext cx="1057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6FF"/>
  </sheetPr>
  <dimension ref="A1:DF221"/>
  <sheetViews>
    <sheetView topLeftCell="E9" zoomScale="50" zoomScaleNormal="50" zoomScaleSheetLayoutView="70" workbookViewId="0">
      <selection activeCell="E18" sqref="E18:I23"/>
    </sheetView>
  </sheetViews>
  <sheetFormatPr defaultRowHeight="23.5" outlineLevelRow="1" outlineLevelCol="2"/>
  <cols>
    <col min="1" max="4" width="9.1796875" style="339" hidden="1" customWidth="1" outlineLevel="1"/>
    <col min="5" max="5" width="92" style="339" customWidth="1" collapsed="1"/>
    <col min="6" max="6" width="37.81640625" style="339" bestFit="1" customWidth="1"/>
    <col min="7" max="7" width="38.7265625" style="339" customWidth="1"/>
    <col min="8" max="8" width="32.81640625" style="339" customWidth="1"/>
    <col min="9" max="9" width="30.81640625" style="339" customWidth="1"/>
    <col min="10" max="10" width="3.453125" style="419" customWidth="1"/>
    <col min="11" max="11" width="1.26953125" style="419" customWidth="1"/>
    <col min="12" max="12" width="24.26953125" style="388" bestFit="1" customWidth="1"/>
    <col min="13" max="13" width="24.7265625" style="389" customWidth="1"/>
    <col min="14" max="14" width="39.81640625" style="402" customWidth="1"/>
    <col min="15" max="15" width="5.1796875" style="419" customWidth="1"/>
    <col min="16" max="16" width="26.81640625" style="419" hidden="1" customWidth="1" outlineLevel="2"/>
    <col min="17" max="17" width="42.453125" style="419" hidden="1" customWidth="1" outlineLevel="2"/>
    <col min="18" max="18" width="58.7265625" style="444" hidden="1" customWidth="1" outlineLevel="2" collapsed="1"/>
    <col min="19" max="19" width="24.81640625" style="444" hidden="1" customWidth="1" outlineLevel="2"/>
    <col min="20" max="20" width="25" style="444" hidden="1" customWidth="1" outlineLevel="2"/>
    <col min="21" max="21" width="21.1796875" style="444" hidden="1" customWidth="1" outlineLevel="2"/>
    <col min="22" max="22" width="30.81640625" style="419" hidden="1" customWidth="1" outlineLevel="2"/>
    <col min="23" max="23" width="22.7265625" style="419" hidden="1" customWidth="1" outlineLevel="1"/>
    <col min="24" max="24" width="8.7265625" style="419" collapsed="1"/>
    <col min="25" max="44" width="8.7265625" style="419"/>
    <col min="45" max="110" width="9.1796875" style="419"/>
  </cols>
  <sheetData>
    <row r="1" spans="1:110" s="419" customFormat="1" hidden="1">
      <c r="L1" s="420"/>
      <c r="M1" s="421"/>
      <c r="N1" s="422"/>
      <c r="R1" s="444"/>
      <c r="S1" s="444"/>
      <c r="T1" s="444"/>
      <c r="U1" s="444"/>
    </row>
    <row r="2" spans="1:110" s="419" customFormat="1" hidden="1">
      <c r="L2" s="420"/>
      <c r="M2" s="421"/>
      <c r="N2" s="422"/>
      <c r="R2" s="444"/>
      <c r="S2" s="444"/>
      <c r="T2" s="444"/>
      <c r="U2" s="444"/>
    </row>
    <row r="3" spans="1:110" s="419" customFormat="1" hidden="1">
      <c r="L3" s="420"/>
      <c r="M3" s="421"/>
      <c r="N3" s="422"/>
      <c r="R3" s="444"/>
      <c r="S3" s="444"/>
      <c r="T3" s="444"/>
      <c r="U3" s="444"/>
    </row>
    <row r="4" spans="1:110" s="419" customFormat="1" hidden="1">
      <c r="L4" s="420"/>
      <c r="M4" s="421"/>
      <c r="N4" s="422"/>
      <c r="R4" s="444"/>
      <c r="S4" s="444"/>
      <c r="T4" s="444"/>
      <c r="U4" s="444"/>
    </row>
    <row r="5" spans="1:110" s="419" customFormat="1" hidden="1">
      <c r="L5" s="420"/>
      <c r="M5" s="421"/>
      <c r="N5" s="422"/>
      <c r="R5" s="444"/>
      <c r="S5" s="444"/>
      <c r="T5" s="444"/>
      <c r="U5" s="444"/>
    </row>
    <row r="6" spans="1:110" s="419" customFormat="1" hidden="1">
      <c r="L6" s="420"/>
      <c r="M6" s="421"/>
      <c r="N6" s="422"/>
      <c r="R6" s="444"/>
      <c r="S6" s="444"/>
      <c r="T6" s="444"/>
      <c r="U6" s="444"/>
    </row>
    <row r="7" spans="1:110" s="419" customFormat="1" ht="24" hidden="1" thickBot="1">
      <c r="L7" s="420"/>
      <c r="M7" s="421"/>
      <c r="N7" s="422"/>
      <c r="R7" s="444"/>
      <c r="S7" s="444"/>
      <c r="T7" s="444"/>
      <c r="U7" s="444"/>
    </row>
    <row r="8" spans="1:110" s="152" customFormat="1" ht="100.5" hidden="1" customHeight="1" thickBot="1">
      <c r="A8" s="357"/>
      <c r="B8" s="357"/>
      <c r="C8" s="357"/>
      <c r="D8" s="357"/>
      <c r="E8" s="631" t="s">
        <v>424</v>
      </c>
      <c r="F8" s="632"/>
      <c r="G8" s="632"/>
      <c r="H8" s="632"/>
      <c r="I8" s="633"/>
      <c r="J8" s="423"/>
      <c r="K8" s="423"/>
      <c r="L8" s="596" t="s">
        <v>423</v>
      </c>
      <c r="M8" s="597"/>
      <c r="N8" s="598"/>
      <c r="O8" s="423"/>
      <c r="P8" s="423"/>
      <c r="Q8" s="423"/>
      <c r="R8" s="500"/>
      <c r="S8" s="500"/>
      <c r="T8" s="500"/>
      <c r="U8" s="500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  <c r="AG8" s="423"/>
      <c r="AH8" s="423"/>
      <c r="AI8" s="423"/>
      <c r="AJ8" s="423"/>
      <c r="AK8" s="423"/>
      <c r="AL8" s="423"/>
      <c r="AM8" s="423"/>
      <c r="AN8" s="423"/>
      <c r="AO8" s="423"/>
      <c r="AP8" s="423"/>
      <c r="AQ8" s="423"/>
      <c r="AR8" s="423"/>
      <c r="AS8" s="423"/>
      <c r="AT8" s="423"/>
      <c r="AU8" s="423"/>
      <c r="AV8" s="423"/>
      <c r="AW8" s="423"/>
      <c r="AX8" s="423"/>
      <c r="AY8" s="423"/>
      <c r="AZ8" s="423"/>
      <c r="BA8" s="423"/>
      <c r="BB8" s="423"/>
      <c r="BC8" s="423"/>
      <c r="BD8" s="423"/>
      <c r="BE8" s="423"/>
      <c r="BF8" s="423"/>
      <c r="BG8" s="423"/>
      <c r="BH8" s="423"/>
      <c r="BI8" s="423"/>
      <c r="BJ8" s="423"/>
      <c r="BK8" s="423"/>
      <c r="BL8" s="423"/>
      <c r="BM8" s="423"/>
      <c r="BN8" s="423"/>
      <c r="BO8" s="423"/>
      <c r="BP8" s="423"/>
      <c r="BQ8" s="423"/>
      <c r="BR8" s="423"/>
      <c r="BS8" s="423"/>
      <c r="BT8" s="423"/>
      <c r="BU8" s="423"/>
      <c r="BV8" s="423"/>
      <c r="BW8" s="423"/>
      <c r="BX8" s="423"/>
      <c r="BY8" s="423"/>
      <c r="BZ8" s="423"/>
      <c r="CA8" s="423"/>
      <c r="CB8" s="423"/>
      <c r="CC8" s="423"/>
      <c r="CD8" s="423"/>
      <c r="CE8" s="423"/>
      <c r="CF8" s="423"/>
      <c r="CG8" s="423"/>
      <c r="CH8" s="423"/>
      <c r="CI8" s="423"/>
      <c r="CJ8" s="423"/>
      <c r="CK8" s="423"/>
      <c r="CL8" s="423"/>
      <c r="CM8" s="423"/>
      <c r="CN8" s="423"/>
      <c r="CO8" s="423"/>
      <c r="CP8" s="423"/>
      <c r="CQ8" s="423"/>
      <c r="CR8" s="423"/>
      <c r="CS8" s="423"/>
      <c r="CT8" s="423"/>
      <c r="CU8" s="423"/>
      <c r="CV8" s="423"/>
      <c r="CW8" s="423"/>
      <c r="CX8" s="423"/>
      <c r="CY8" s="423"/>
      <c r="CZ8" s="423"/>
      <c r="DA8" s="423"/>
      <c r="DB8" s="423"/>
      <c r="DC8" s="423"/>
      <c r="DD8" s="423"/>
      <c r="DE8" s="423"/>
      <c r="DF8" s="423"/>
    </row>
    <row r="9" spans="1:110" ht="24" customHeight="1" thickBot="1">
      <c r="E9" s="634" t="s">
        <v>387</v>
      </c>
      <c r="F9" s="635"/>
      <c r="G9" s="419"/>
      <c r="H9" s="419"/>
      <c r="I9" s="495">
        <f ca="1">NOW()</f>
        <v>46084.282846759263</v>
      </c>
      <c r="L9" s="593" t="s">
        <v>419</v>
      </c>
      <c r="M9" s="595">
        <v>5000</v>
      </c>
      <c r="N9" s="422"/>
      <c r="P9" s="496">
        <f ca="1">DAY(EOMONTH(I9,0))</f>
        <v>31</v>
      </c>
      <c r="Q9" s="419" t="s">
        <v>396</v>
      </c>
      <c r="R9" s="615" t="s">
        <v>400</v>
      </c>
      <c r="S9" s="616"/>
      <c r="T9" s="616"/>
      <c r="U9" s="616"/>
      <c r="V9" s="617"/>
    </row>
    <row r="10" spans="1:110" ht="52" customHeight="1" thickBot="1">
      <c r="E10" s="634"/>
      <c r="F10" s="635"/>
      <c r="G10" s="466" t="s">
        <v>389</v>
      </c>
      <c r="H10" s="467" t="s">
        <v>384</v>
      </c>
      <c r="I10" s="468" t="s">
        <v>385</v>
      </c>
      <c r="L10" s="498" t="s">
        <v>395</v>
      </c>
      <c r="M10" s="499">
        <f ca="1">$P$9-DAY(I9)</f>
        <v>28</v>
      </c>
      <c r="N10" s="427" t="s">
        <v>425</v>
      </c>
      <c r="R10" s="618"/>
      <c r="S10" s="619"/>
      <c r="T10" s="619"/>
      <c r="U10" s="619"/>
      <c r="V10" s="620"/>
    </row>
    <row r="11" spans="1:110" ht="34" thickBot="1">
      <c r="E11" s="480" t="s">
        <v>388</v>
      </c>
      <c r="F11" s="464">
        <v>0</v>
      </c>
      <c r="G11" s="469" t="s">
        <v>380</v>
      </c>
      <c r="H11" s="418">
        <v>0</v>
      </c>
      <c r="I11" s="470">
        <v>0</v>
      </c>
      <c r="L11" s="474" t="s">
        <v>375</v>
      </c>
      <c r="M11" s="594">
        <f>F50</f>
        <v>2000</v>
      </c>
      <c r="N11" s="477" t="str">
        <f>IF(F49&lt;F47,"BASED ON IGIR","BASED ON NTHP")</f>
        <v>BASED ON NTHP</v>
      </c>
      <c r="R11" s="621" t="s">
        <v>397</v>
      </c>
      <c r="S11" s="623">
        <f>(F14+H15)/0.97947</f>
        <v>0</v>
      </c>
      <c r="T11" s="501"/>
      <c r="U11" s="625" t="s">
        <v>408</v>
      </c>
      <c r="V11" s="627">
        <f ca="1">S11-H15-F14-W47</f>
        <v>-6304</v>
      </c>
    </row>
    <row r="12" spans="1:110" ht="29" thickBot="1">
      <c r="E12" s="471" t="s">
        <v>333</v>
      </c>
      <c r="G12" s="471" t="s">
        <v>381</v>
      </c>
      <c r="H12" s="417"/>
      <c r="I12" s="472"/>
      <c r="L12" s="420"/>
      <c r="M12" s="421"/>
      <c r="N12" s="427" t="s">
        <v>378</v>
      </c>
      <c r="O12" s="428"/>
      <c r="R12" s="622"/>
      <c r="S12" s="624"/>
      <c r="T12" s="501"/>
      <c r="U12" s="626"/>
      <c r="V12" s="628"/>
    </row>
    <row r="13" spans="1:110" ht="29" thickBot="1">
      <c r="E13" s="471" t="s">
        <v>345</v>
      </c>
      <c r="G13" s="471" t="s">
        <v>382</v>
      </c>
      <c r="H13" s="417">
        <v>0</v>
      </c>
      <c r="I13" s="472">
        <v>0</v>
      </c>
      <c r="L13" s="475" t="s">
        <v>371</v>
      </c>
      <c r="M13" s="399">
        <v>150000</v>
      </c>
      <c r="N13" s="478">
        <f ca="1">M13-F14-H15-W47</f>
        <v>143696</v>
      </c>
      <c r="R13" s="519" t="s">
        <v>402</v>
      </c>
      <c r="S13" s="518">
        <f>'NEW BORROWER'!C5</f>
        <v>8000</v>
      </c>
      <c r="T13" s="501"/>
      <c r="U13" s="501"/>
    </row>
    <row r="14" spans="1:110" ht="34" thickBot="1">
      <c r="E14" s="471" t="s">
        <v>334</v>
      </c>
      <c r="F14" s="465">
        <v>0</v>
      </c>
      <c r="G14" s="471" t="s">
        <v>383</v>
      </c>
      <c r="H14" s="417">
        <v>0</v>
      </c>
      <c r="I14" s="472">
        <v>0</v>
      </c>
      <c r="L14" s="439" t="s">
        <v>336</v>
      </c>
      <c r="M14" s="443" t="s">
        <v>372</v>
      </c>
      <c r="N14" s="427" t="s">
        <v>377</v>
      </c>
      <c r="R14" s="514" t="s">
        <v>336</v>
      </c>
      <c r="S14" s="515" t="s">
        <v>372</v>
      </c>
      <c r="T14" s="516" t="s">
        <v>398</v>
      </c>
      <c r="U14" s="514" t="s">
        <v>399</v>
      </c>
      <c r="V14" s="517" t="s">
        <v>401</v>
      </c>
      <c r="W14" s="444"/>
      <c r="X14" s="444"/>
    </row>
    <row r="15" spans="1:110" ht="34" thickBot="1">
      <c r="E15" s="471" t="s">
        <v>335</v>
      </c>
      <c r="F15" s="465">
        <v>0</v>
      </c>
      <c r="G15" s="473" t="s">
        <v>386</v>
      </c>
      <c r="H15" s="487">
        <f>SUM(H11:H14)</f>
        <v>0</v>
      </c>
      <c r="I15" s="488">
        <f>SUM(I11:I14)</f>
        <v>0</v>
      </c>
      <c r="L15" s="489" t="s">
        <v>339</v>
      </c>
      <c r="M15" s="490">
        <f>IF('NEW BORROWER'!B11=0,0,-PMT('NEW BORROWER'!B10/12,48,M13))</f>
        <v>0</v>
      </c>
      <c r="N15" s="479" t="str">
        <f>IF('NEW BORROWER'!B11=0,"N.A.",IF(M15&gt;$M$11,"CANNOT BE","OK"))</f>
        <v>N.A.</v>
      </c>
      <c r="R15" s="510" t="s">
        <v>339</v>
      </c>
      <c r="S15" s="511">
        <f>-PMT('NEW BORROWER'!B10/12,48,M13)</f>
        <v>4174.6122399714368</v>
      </c>
      <c r="T15" s="512">
        <f>S15/'NEW BORROWER'!$C$3</f>
        <v>0.27830748266476246</v>
      </c>
      <c r="U15" s="520">
        <f>'NEW BORROWER'!$C$5+$I$15+$F$15-S15</f>
        <v>3825.3877600285632</v>
      </c>
      <c r="V15" s="513">
        <f>U15-S13</f>
        <v>-4174.6122399714368</v>
      </c>
    </row>
    <row r="16" spans="1:110" ht="34" thickBot="1">
      <c r="E16" s="430"/>
      <c r="F16" s="431"/>
      <c r="G16" s="432"/>
      <c r="H16" s="432"/>
      <c r="I16" s="433"/>
      <c r="L16" s="489" t="s">
        <v>340</v>
      </c>
      <c r="M16" s="490">
        <f>-PMT('NEW BORROWER'!C10/12,36,M13)</f>
        <v>4982.1464719276782</v>
      </c>
      <c r="N16" s="479" t="str">
        <f>IF(M16&gt;$M$11,"CANNOT BE","OK")</f>
        <v>CANNOT BE</v>
      </c>
      <c r="R16" s="504" t="s">
        <v>340</v>
      </c>
      <c r="S16" s="502">
        <f>-PMT('NEW BORROWER'!C10/12,36,M13)</f>
        <v>4982.1464719276782</v>
      </c>
      <c r="T16" s="503">
        <f>S16/'NEW BORROWER'!$C$3</f>
        <v>0.33214309812851189</v>
      </c>
      <c r="U16" s="521">
        <f>'NEW BORROWER'!$C$5+$I$15+$F$15-S16</f>
        <v>3017.8535280723218</v>
      </c>
      <c r="V16" s="505">
        <f>U16-('NEW BORROWER'!$C$5-$I$15)</f>
        <v>-4982.1464719276782</v>
      </c>
    </row>
    <row r="17" spans="5:22" ht="34" thickBot="1">
      <c r="E17" s="575"/>
      <c r="F17" s="607" t="s">
        <v>32</v>
      </c>
      <c r="G17" s="608"/>
      <c r="H17" s="608"/>
      <c r="I17" s="609"/>
      <c r="L17" s="489" t="s">
        <v>341</v>
      </c>
      <c r="M17" s="490">
        <f>-PMT('NEW BORROWER'!D10/12,24,M13)</f>
        <v>7061.0208334897052</v>
      </c>
      <c r="N17" s="479" t="str">
        <f>IF(M17&gt;$M$11,"CANNOT BE","OK")</f>
        <v>CANNOT BE</v>
      </c>
      <c r="R17" s="504"/>
      <c r="S17" s="502"/>
      <c r="T17" s="503"/>
      <c r="U17" s="521"/>
      <c r="V17" s="505"/>
    </row>
    <row r="18" spans="5:22" ht="26" thickBot="1">
      <c r="L18" s="489" t="s">
        <v>342</v>
      </c>
      <c r="M18" s="490">
        <f>-PMT('NEW BORROWER'!E10/12,12,M13)</f>
        <v>13327.318301751253</v>
      </c>
      <c r="N18" s="479" t="str">
        <f>IF(M18&gt;$M$11,"CANNOT BE","OK")</f>
        <v>CANNOT BE</v>
      </c>
      <c r="R18" s="504" t="s">
        <v>341</v>
      </c>
      <c r="S18" s="502">
        <f>-PMT('NEW BORROWER'!D10/12,24,M13)</f>
        <v>7061.0208334897052</v>
      </c>
      <c r="T18" s="503">
        <f>S18/'NEW BORROWER'!$C$3</f>
        <v>0.47073472223264701</v>
      </c>
      <c r="U18" s="521">
        <f>'NEW BORROWER'!$C$5+$I$15+$F$15-S18</f>
        <v>938.97916651029482</v>
      </c>
      <c r="V18" s="505">
        <f>U18-('NEW BORROWER'!$C$5-$I$15)</f>
        <v>-7061.0208334897052</v>
      </c>
    </row>
    <row r="19" spans="5:22" ht="26" thickBot="1">
      <c r="L19" s="441"/>
      <c r="M19" s="442"/>
      <c r="N19" s="422"/>
      <c r="R19" s="506" t="s">
        <v>342</v>
      </c>
      <c r="S19" s="507">
        <f>-PMT('NEW BORROWER'!E10/12,12,M13)</f>
        <v>13327.318301751253</v>
      </c>
      <c r="T19" s="508">
        <f>S19/'NEW BORROWER'!$C$3</f>
        <v>0.88848788678341684</v>
      </c>
      <c r="U19" s="522">
        <f>'NEW BORROWER'!$C$5+$I$15+$F$15-S19</f>
        <v>-5327.3183017512529</v>
      </c>
      <c r="V19" s="509">
        <f>U19-('NEW BORROWER'!$C$5-$I$15)</f>
        <v>-13327.318301751253</v>
      </c>
    </row>
    <row r="20" spans="5:22" ht="24" thickBot="1">
      <c r="L20" s="441"/>
      <c r="M20" s="442"/>
      <c r="N20" s="422"/>
    </row>
    <row r="21" spans="5:22" ht="26" thickBot="1">
      <c r="L21" s="476" t="s">
        <v>372</v>
      </c>
      <c r="M21" s="493">
        <v>6500</v>
      </c>
      <c r="N21" s="494" t="str">
        <f>IF(M21&gt;M11,"CANNOT BE","OK")</f>
        <v>CANNOT BE</v>
      </c>
      <c r="S21" s="523"/>
    </row>
    <row r="22" spans="5:22" ht="29" thickBot="1">
      <c r="L22" s="439" t="s">
        <v>336</v>
      </c>
      <c r="M22" s="443" t="s">
        <v>373</v>
      </c>
      <c r="N22" s="427" t="s">
        <v>378</v>
      </c>
      <c r="R22" s="524"/>
      <c r="S22" s="525"/>
      <c r="T22" s="524"/>
      <c r="U22" s="524"/>
      <c r="V22" s="524"/>
    </row>
    <row r="23" spans="5:22" ht="24" thickBot="1">
      <c r="L23" s="489" t="s">
        <v>339</v>
      </c>
      <c r="M23" s="490">
        <f>IF('NEW BORROWER'!B11=0,0,-PV('NEW BORROWER'!B10/12,48,M21))</f>
        <v>0</v>
      </c>
      <c r="N23" s="491">
        <f ca="1">M23-$F$14-$H$15-W37</f>
        <v>0</v>
      </c>
      <c r="R23" s="526"/>
      <c r="S23" s="525"/>
      <c r="T23" s="524"/>
      <c r="U23" s="524"/>
      <c r="V23" s="524"/>
    </row>
    <row r="24" spans="5:22" ht="29" thickBot="1">
      <c r="E24" s="471"/>
      <c r="F24" s="573"/>
      <c r="G24" s="573"/>
      <c r="H24" s="573"/>
      <c r="I24" s="574"/>
      <c r="L24" s="489" t="s">
        <v>340</v>
      </c>
      <c r="M24" s="490">
        <f>-PV('NEW BORROWER'!C10/12,36,M21)</f>
        <v>195698.78274228182</v>
      </c>
      <c r="N24" s="491">
        <f ca="1">M24-$F$14-$H$15-W38</f>
        <v>189344.80060099743</v>
      </c>
      <c r="R24" s="526"/>
      <c r="S24" s="525"/>
      <c r="T24" s="524"/>
      <c r="U24" s="524"/>
      <c r="V24" s="524"/>
    </row>
    <row r="25" spans="5:22" ht="34" thickBot="1">
      <c r="E25" s="471"/>
      <c r="F25" s="610" t="s">
        <v>426</v>
      </c>
      <c r="G25" s="611"/>
      <c r="H25" s="611"/>
      <c r="I25" s="612"/>
      <c r="L25" s="489" t="s">
        <v>341</v>
      </c>
      <c r="M25" s="490">
        <f>-PV('NEW BORROWER'!D10/12,24,M21)</f>
        <v>138082.01717458121</v>
      </c>
      <c r="N25" s="491">
        <f ca="1">M25-$F$14-$H$15-W39</f>
        <v>133859.00881599193</v>
      </c>
      <c r="R25" s="526"/>
      <c r="S25" s="525"/>
      <c r="T25" s="524"/>
      <c r="U25" s="524"/>
      <c r="V25" s="524"/>
    </row>
    <row r="26" spans="5:22" ht="29" thickBot="1">
      <c r="E26" s="471" t="s">
        <v>336</v>
      </c>
      <c r="F26" s="481" t="s">
        <v>339</v>
      </c>
      <c r="G26" s="481" t="s">
        <v>340</v>
      </c>
      <c r="H26" s="481" t="s">
        <v>341</v>
      </c>
      <c r="I26" s="482" t="s">
        <v>342</v>
      </c>
      <c r="L26" s="489" t="s">
        <v>342</v>
      </c>
      <c r="M26" s="490">
        <f>-PV('NEW BORROWER'!E10/12,12,M21)</f>
        <v>73158.003577650117</v>
      </c>
      <c r="N26" s="491">
        <f ca="1">M26-$F$14-$H$15-W40</f>
        <v>71097.630336891569</v>
      </c>
      <c r="R26" s="526"/>
      <c r="S26" s="525"/>
      <c r="T26" s="524"/>
      <c r="U26" s="524"/>
      <c r="V26" s="524"/>
    </row>
    <row r="27" spans="5:22" ht="28.5">
      <c r="E27" s="471" t="s">
        <v>357</v>
      </c>
      <c r="F27" s="483">
        <v>0.1</v>
      </c>
      <c r="G27" s="483">
        <v>0.08</v>
      </c>
      <c r="H27" s="483">
        <v>0.08</v>
      </c>
      <c r="I27" s="483">
        <v>0.08</v>
      </c>
      <c r="L27" s="529"/>
      <c r="M27" s="530"/>
      <c r="N27" s="530"/>
      <c r="R27" s="526"/>
      <c r="S27" s="525"/>
      <c r="T27" s="524"/>
      <c r="U27" s="524"/>
      <c r="V27" s="524"/>
    </row>
    <row r="28" spans="5:22" ht="28.5">
      <c r="E28" s="471" t="s">
        <v>346</v>
      </c>
      <c r="F28" s="576">
        <f>IF(F61&lt;48,0,ROUNDDOWN(-PV(F27/12,48,F60),-3))</f>
        <v>0</v>
      </c>
      <c r="G28" s="576">
        <f>ROUNDDOWN(-PV(G27/12,36,F60),-3)</f>
        <v>95000</v>
      </c>
      <c r="H28" s="576">
        <f>ROUNDDOWN(-PV(H27/12,24,F60),-3)</f>
        <v>66000</v>
      </c>
      <c r="I28" s="576">
        <f>ROUNDDOWN(-PV(I27/12,12,F60),-3)</f>
        <v>34000</v>
      </c>
      <c r="L28" s="529"/>
      <c r="M28" s="530"/>
      <c r="N28" s="530"/>
      <c r="R28" s="526"/>
      <c r="S28" s="525"/>
      <c r="T28" s="524"/>
      <c r="U28" s="524"/>
      <c r="V28" s="524"/>
    </row>
    <row r="29" spans="5:22" ht="28.5">
      <c r="E29" s="471" t="s">
        <v>337</v>
      </c>
      <c r="F29" s="484">
        <f>-PMT(F27/12,48,F28)</f>
        <v>0</v>
      </c>
      <c r="G29" s="484">
        <f>-PMT(G27/12,36,G28)</f>
        <v>2976.9547188359306</v>
      </c>
      <c r="H29" s="484">
        <f>-PMT(H27/12,24,H28)</f>
        <v>2985.001236108154</v>
      </c>
      <c r="I29" s="484">
        <f>-PMT(I27/12,12,I28)</f>
        <v>2957.6065889043161</v>
      </c>
      <c r="L29" s="529"/>
      <c r="M29" s="530"/>
      <c r="N29" s="530"/>
      <c r="R29" s="526"/>
      <c r="S29" s="525"/>
      <c r="T29" s="524"/>
      <c r="U29" s="524"/>
      <c r="V29" s="524"/>
    </row>
    <row r="30" spans="5:22" ht="28.5">
      <c r="E30" s="471" t="s">
        <v>343</v>
      </c>
      <c r="F30" s="576">
        <f ca="1">F28-F14-F41-H15</f>
        <v>0</v>
      </c>
      <c r="G30" s="576">
        <f ca="1">G28-F14-G41-H15</f>
        <v>92911.8</v>
      </c>
      <c r="H30" s="576">
        <f ca="1">H28-F14-H41-H15</f>
        <v>64715.5</v>
      </c>
      <c r="I30" s="576">
        <f ca="1">I28-F14-I41-H15</f>
        <v>33380.406666666669</v>
      </c>
      <c r="L30" s="529"/>
      <c r="M30" s="530"/>
      <c r="N30" s="530"/>
      <c r="R30" s="526"/>
      <c r="S30" s="525"/>
      <c r="T30" s="524"/>
      <c r="U30" s="524"/>
      <c r="V30" s="524"/>
    </row>
    <row r="31" spans="5:22" ht="29" thickBot="1">
      <c r="E31" s="471" t="s">
        <v>344</v>
      </c>
      <c r="F31" s="485">
        <f>'NEW BORROWER'!$C$5-F29+$F$15+$I$15</f>
        <v>8000</v>
      </c>
      <c r="G31" s="485">
        <f>'NEW BORROWER'!$C$5-G29+$F$15+$I$15</f>
        <v>5023.0452811640698</v>
      </c>
      <c r="H31" s="485">
        <f>'NEW BORROWER'!$C$5-H29+$F$15+$I$15</f>
        <v>5014.9987638918465</v>
      </c>
      <c r="I31" s="485">
        <f>'NEW BORROWER'!$C$5-I29+$F$15+$I$15</f>
        <v>5042.3934110956834</v>
      </c>
      <c r="L31" s="529"/>
      <c r="M31" s="530"/>
      <c r="N31" s="530"/>
      <c r="R31" s="526"/>
      <c r="S31" s="525"/>
      <c r="T31" s="524"/>
      <c r="U31" s="524"/>
      <c r="V31" s="524"/>
    </row>
    <row r="32" spans="5:22" ht="28.5">
      <c r="E32" s="434"/>
      <c r="F32" s="435"/>
      <c r="G32" s="435"/>
      <c r="H32" s="435"/>
      <c r="I32" s="436"/>
      <c r="L32" s="529"/>
      <c r="M32" s="530"/>
      <c r="N32" s="530"/>
      <c r="R32" s="526"/>
      <c r="S32" s="525"/>
      <c r="T32" s="524"/>
      <c r="U32" s="524"/>
      <c r="V32" s="524"/>
    </row>
    <row r="33" spans="1:110" ht="38.25" customHeight="1" thickBot="1">
      <c r="E33" s="636" t="s">
        <v>367</v>
      </c>
      <c r="F33" s="637"/>
      <c r="G33" s="637"/>
      <c r="H33" s="637"/>
      <c r="I33" s="638"/>
      <c r="L33" s="529"/>
      <c r="M33" s="530"/>
      <c r="N33" s="530"/>
      <c r="R33" s="526"/>
      <c r="S33" s="525"/>
      <c r="T33" s="524"/>
      <c r="U33" s="524"/>
      <c r="V33" s="524"/>
    </row>
    <row r="34" spans="1:110" ht="29" thickBot="1">
      <c r="E34" s="437"/>
      <c r="F34" s="435"/>
      <c r="G34" s="435"/>
      <c r="H34" s="419"/>
      <c r="I34" s="438" t="s">
        <v>420</v>
      </c>
      <c r="L34" s="529"/>
      <c r="M34" s="530"/>
      <c r="N34" s="530"/>
    </row>
    <row r="35" spans="1:110" s="534" customFormat="1" ht="27" outlineLevel="1">
      <c r="A35" s="527"/>
      <c r="B35" s="527"/>
      <c r="C35" s="527"/>
      <c r="D35" s="527"/>
      <c r="E35" s="639" t="s">
        <v>368</v>
      </c>
      <c r="F35" s="640"/>
      <c r="G35" s="640"/>
      <c r="H35" s="640"/>
      <c r="I35" s="641"/>
      <c r="J35" s="528"/>
      <c r="K35" s="528"/>
      <c r="L35" s="529"/>
      <c r="M35" s="530"/>
      <c r="N35" s="530"/>
      <c r="O35" s="528"/>
      <c r="P35" s="528"/>
      <c r="Q35" s="528"/>
      <c r="R35" s="527"/>
      <c r="S35" s="531" t="s">
        <v>406</v>
      </c>
      <c r="T35" s="532"/>
      <c r="U35" s="532"/>
      <c r="V35" s="533"/>
      <c r="W35" s="533"/>
      <c r="X35" s="528"/>
      <c r="Y35" s="528"/>
      <c r="Z35" s="528"/>
      <c r="AA35" s="528"/>
      <c r="AB35" s="528"/>
      <c r="AC35" s="528"/>
      <c r="AD35" s="528"/>
      <c r="AE35" s="528"/>
      <c r="AF35" s="528"/>
      <c r="AG35" s="528"/>
      <c r="AH35" s="528"/>
      <c r="AI35" s="528"/>
      <c r="AJ35" s="528"/>
      <c r="AK35" s="528"/>
      <c r="AL35" s="528"/>
      <c r="AM35" s="528"/>
      <c r="AN35" s="528"/>
      <c r="AO35" s="528"/>
      <c r="AP35" s="528"/>
      <c r="AQ35" s="528"/>
      <c r="AR35" s="528"/>
      <c r="AS35" s="528"/>
      <c r="AT35" s="528"/>
      <c r="AU35" s="528"/>
      <c r="AV35" s="528"/>
      <c r="AW35" s="528"/>
      <c r="AX35" s="528"/>
      <c r="AY35" s="528"/>
      <c r="AZ35" s="528"/>
      <c r="BA35" s="528"/>
      <c r="BB35" s="528"/>
      <c r="BC35" s="528"/>
      <c r="BD35" s="528"/>
      <c r="BE35" s="528"/>
      <c r="BF35" s="528"/>
      <c r="BG35" s="528"/>
      <c r="BH35" s="528"/>
      <c r="BI35" s="528"/>
      <c r="BJ35" s="528"/>
      <c r="BK35" s="528"/>
      <c r="BL35" s="528"/>
      <c r="BM35" s="528"/>
      <c r="BN35" s="528"/>
      <c r="BO35" s="528"/>
      <c r="BP35" s="528"/>
      <c r="BQ35" s="528"/>
      <c r="BR35" s="528"/>
      <c r="BS35" s="528"/>
      <c r="BT35" s="528"/>
      <c r="BU35" s="528"/>
      <c r="BV35" s="528"/>
      <c r="BW35" s="528"/>
      <c r="BX35" s="528"/>
      <c r="BY35" s="528"/>
      <c r="BZ35" s="528"/>
      <c r="CA35" s="528"/>
      <c r="CB35" s="528"/>
      <c r="CC35" s="528"/>
      <c r="CD35" s="528"/>
      <c r="CE35" s="528"/>
      <c r="CF35" s="528"/>
      <c r="CG35" s="528"/>
      <c r="CH35" s="528"/>
      <c r="CI35" s="528"/>
      <c r="CJ35" s="528"/>
      <c r="CK35" s="528"/>
      <c r="CL35" s="528"/>
      <c r="CM35" s="528"/>
      <c r="CN35" s="528"/>
      <c r="CO35" s="528"/>
      <c r="CP35" s="528"/>
      <c r="CQ35" s="528"/>
      <c r="CR35" s="528"/>
      <c r="CS35" s="528"/>
      <c r="CT35" s="528"/>
      <c r="CU35" s="528"/>
      <c r="CV35" s="528"/>
      <c r="CW35" s="528"/>
      <c r="CX35" s="528"/>
      <c r="CY35" s="528"/>
      <c r="CZ35" s="528"/>
      <c r="DA35" s="528"/>
      <c r="DB35" s="528"/>
      <c r="DC35" s="528"/>
      <c r="DD35" s="528"/>
      <c r="DE35" s="528"/>
      <c r="DF35" s="528"/>
    </row>
    <row r="36" spans="1:110" s="534" customFormat="1" ht="27" outlineLevel="1">
      <c r="A36" s="527"/>
      <c r="B36" s="527"/>
      <c r="C36" s="527"/>
      <c r="D36" s="527"/>
      <c r="E36" s="535"/>
      <c r="F36" s="536"/>
      <c r="G36" s="536"/>
      <c r="H36" s="536"/>
      <c r="I36" s="537"/>
      <c r="J36" s="528"/>
      <c r="K36" s="528"/>
      <c r="L36" s="529"/>
      <c r="M36" s="530"/>
      <c r="N36" s="538">
        <f ca="1">N13/M13</f>
        <v>0.95797333333333334</v>
      </c>
      <c r="O36" s="528"/>
      <c r="P36" s="528"/>
      <c r="Q36" s="528"/>
      <c r="R36" s="539"/>
      <c r="S36" s="540" t="s">
        <v>403</v>
      </c>
      <c r="T36" s="540" t="s">
        <v>404</v>
      </c>
      <c r="U36" s="540" t="s">
        <v>363</v>
      </c>
      <c r="V36" s="540" t="s">
        <v>405</v>
      </c>
      <c r="W36" s="540" t="s">
        <v>386</v>
      </c>
      <c r="X36" s="528"/>
      <c r="Y36" s="528"/>
      <c r="Z36" s="528"/>
      <c r="AA36" s="528"/>
      <c r="AB36" s="528"/>
      <c r="AC36" s="528"/>
      <c r="AD36" s="528"/>
      <c r="AE36" s="528"/>
      <c r="AF36" s="528"/>
      <c r="AG36" s="528"/>
      <c r="AH36" s="528"/>
      <c r="AI36" s="528"/>
      <c r="AJ36" s="528"/>
      <c r="AK36" s="528"/>
      <c r="AL36" s="528"/>
      <c r="AM36" s="528"/>
      <c r="AN36" s="528"/>
      <c r="AO36" s="528"/>
      <c r="AP36" s="528"/>
      <c r="AQ36" s="528"/>
      <c r="AR36" s="528"/>
      <c r="AS36" s="528"/>
      <c r="AT36" s="528"/>
      <c r="AU36" s="528"/>
      <c r="AV36" s="528"/>
      <c r="AW36" s="528"/>
      <c r="AX36" s="528"/>
      <c r="AY36" s="528"/>
      <c r="AZ36" s="528"/>
      <c r="BA36" s="528"/>
      <c r="BB36" s="528"/>
      <c r="BC36" s="528"/>
      <c r="BD36" s="528"/>
      <c r="BE36" s="528"/>
      <c r="BF36" s="528"/>
      <c r="BG36" s="528"/>
      <c r="BH36" s="528"/>
      <c r="BI36" s="528"/>
      <c r="BJ36" s="528"/>
      <c r="BK36" s="528"/>
      <c r="BL36" s="528"/>
      <c r="BM36" s="528"/>
      <c r="BN36" s="528"/>
      <c r="BO36" s="528"/>
      <c r="BP36" s="528"/>
      <c r="BQ36" s="528"/>
      <c r="BR36" s="528"/>
      <c r="BS36" s="528"/>
      <c r="BT36" s="528"/>
      <c r="BU36" s="528"/>
      <c r="BV36" s="528"/>
      <c r="BW36" s="528"/>
      <c r="BX36" s="528"/>
      <c r="BY36" s="528"/>
      <c r="BZ36" s="528"/>
      <c r="CA36" s="528"/>
      <c r="CB36" s="528"/>
      <c r="CC36" s="528"/>
      <c r="CD36" s="528"/>
      <c r="CE36" s="528"/>
      <c r="CF36" s="528"/>
      <c r="CG36" s="528"/>
      <c r="CH36" s="528"/>
      <c r="CI36" s="528"/>
      <c r="CJ36" s="528"/>
      <c r="CK36" s="528"/>
      <c r="CL36" s="528"/>
      <c r="CM36" s="528"/>
      <c r="CN36" s="528"/>
      <c r="CO36" s="528"/>
      <c r="CP36" s="528"/>
      <c r="CQ36" s="528"/>
      <c r="CR36" s="528"/>
      <c r="CS36" s="528"/>
      <c r="CT36" s="528"/>
      <c r="CU36" s="528"/>
      <c r="CV36" s="528"/>
      <c r="CW36" s="528"/>
      <c r="CX36" s="528"/>
      <c r="CY36" s="528"/>
      <c r="CZ36" s="528"/>
      <c r="DA36" s="528"/>
      <c r="DB36" s="528"/>
      <c r="DC36" s="528"/>
      <c r="DD36" s="528"/>
      <c r="DE36" s="528"/>
      <c r="DF36" s="528"/>
    </row>
    <row r="37" spans="1:110" s="534" customFormat="1" ht="27" outlineLevel="1">
      <c r="A37" s="527"/>
      <c r="B37" s="527"/>
      <c r="C37" s="527"/>
      <c r="D37" s="527"/>
      <c r="E37" s="541" t="s">
        <v>365</v>
      </c>
      <c r="F37" s="542">
        <f>IF('NEW BORROWER'!B11*1%&lt;1500,'NEW BORROWER'!B11*1%,1500)</f>
        <v>0</v>
      </c>
      <c r="G37" s="542">
        <f>IF('NEW BORROWER'!C11*1%&lt;1500,'NEW BORROWER'!C11*1%,1500)</f>
        <v>600</v>
      </c>
      <c r="H37" s="542">
        <f>IF('NEW BORROWER'!D11*1%&lt;1500,'NEW BORROWER'!D11*1%,1500)</f>
        <v>420</v>
      </c>
      <c r="I37" s="543">
        <f>IF('NEW BORROWER'!E11*1%&lt;1500,'NEW BORROWER'!E11*1%,1500)</f>
        <v>220</v>
      </c>
      <c r="J37" s="528"/>
      <c r="K37" s="528"/>
      <c r="L37" s="529"/>
      <c r="M37" s="530"/>
      <c r="N37" s="530"/>
      <c r="O37" s="528"/>
      <c r="P37" s="528"/>
      <c r="Q37" s="528"/>
      <c r="R37" s="527">
        <v>4</v>
      </c>
      <c r="S37" s="544">
        <f>IF(M23*1%&lt;1500,M23*1%,1500)</f>
        <v>0</v>
      </c>
      <c r="T37" s="544">
        <f>IF(M23&lt;250000,0,M23/200)</f>
        <v>0</v>
      </c>
      <c r="U37" s="544">
        <f>(M23/1000)*G100</f>
        <v>0</v>
      </c>
      <c r="V37" s="544">
        <f ca="1">M23*$M$10*'NEW BORROWER'!B10/360</f>
        <v>0</v>
      </c>
      <c r="W37" s="545">
        <f ca="1">SUM(S37:V37)</f>
        <v>0</v>
      </c>
      <c r="X37" s="528"/>
      <c r="Y37" s="528"/>
      <c r="Z37" s="528"/>
      <c r="AA37" s="528"/>
      <c r="AB37" s="528"/>
      <c r="AC37" s="528"/>
      <c r="AD37" s="528"/>
      <c r="AE37" s="528"/>
      <c r="AF37" s="528"/>
      <c r="AG37" s="528"/>
      <c r="AH37" s="528"/>
      <c r="AI37" s="528"/>
      <c r="AJ37" s="528"/>
      <c r="AK37" s="528"/>
      <c r="AL37" s="528"/>
      <c r="AM37" s="528"/>
      <c r="AN37" s="528"/>
      <c r="AO37" s="528"/>
      <c r="AP37" s="528"/>
      <c r="AQ37" s="528"/>
      <c r="AR37" s="528"/>
      <c r="AS37" s="528"/>
      <c r="AT37" s="528"/>
      <c r="AU37" s="528"/>
      <c r="AV37" s="528"/>
      <c r="AW37" s="528"/>
      <c r="AX37" s="528"/>
      <c r="AY37" s="528"/>
      <c r="AZ37" s="528"/>
      <c r="BA37" s="528"/>
      <c r="BB37" s="528"/>
      <c r="BC37" s="528"/>
      <c r="BD37" s="528"/>
      <c r="BE37" s="528"/>
      <c r="BF37" s="528"/>
      <c r="BG37" s="528"/>
      <c r="BH37" s="528"/>
      <c r="BI37" s="528"/>
      <c r="BJ37" s="528"/>
      <c r="BK37" s="528"/>
      <c r="BL37" s="528"/>
      <c r="BM37" s="528"/>
      <c r="BN37" s="528"/>
      <c r="BO37" s="528"/>
      <c r="BP37" s="528"/>
      <c r="BQ37" s="528"/>
      <c r="BR37" s="528"/>
      <c r="BS37" s="528"/>
      <c r="BT37" s="528"/>
      <c r="BU37" s="528"/>
      <c r="BV37" s="528"/>
      <c r="BW37" s="528"/>
      <c r="BX37" s="528"/>
      <c r="BY37" s="528"/>
      <c r="BZ37" s="528"/>
      <c r="CA37" s="528"/>
      <c r="CB37" s="528"/>
      <c r="CC37" s="528"/>
      <c r="CD37" s="528"/>
      <c r="CE37" s="528"/>
      <c r="CF37" s="528"/>
      <c r="CG37" s="528"/>
      <c r="CH37" s="528"/>
      <c r="CI37" s="528"/>
      <c r="CJ37" s="528"/>
      <c r="CK37" s="528"/>
      <c r="CL37" s="528"/>
      <c r="CM37" s="528"/>
      <c r="CN37" s="528"/>
      <c r="CO37" s="528"/>
      <c r="CP37" s="528"/>
      <c r="CQ37" s="528"/>
      <c r="CR37" s="528"/>
      <c r="CS37" s="528"/>
      <c r="CT37" s="528"/>
      <c r="CU37" s="528"/>
      <c r="CV37" s="528"/>
      <c r="CW37" s="528"/>
      <c r="CX37" s="528"/>
      <c r="CY37" s="528"/>
      <c r="CZ37" s="528"/>
      <c r="DA37" s="528"/>
      <c r="DB37" s="528"/>
      <c r="DC37" s="528"/>
      <c r="DD37" s="528"/>
      <c r="DE37" s="528"/>
      <c r="DF37" s="528"/>
    </row>
    <row r="38" spans="1:110" s="534" customFormat="1" ht="27" outlineLevel="1">
      <c r="A38" s="527"/>
      <c r="B38" s="527"/>
      <c r="C38" s="527"/>
      <c r="D38" s="527"/>
      <c r="E38" s="541" t="s">
        <v>366</v>
      </c>
      <c r="F38" s="542">
        <f>IF('NEW BORROWER'!B11&lt;250000,0,'NEW BORROWER'!B11*1.5/200)</f>
        <v>0</v>
      </c>
      <c r="G38" s="542">
        <f>IF('NEW BORROWER'!C11&lt;250000,0,'NEW BORROWER'!C11*1.5/200)</f>
        <v>0</v>
      </c>
      <c r="H38" s="542">
        <f>IF('NEW BORROWER'!D11&lt;250000,0,'NEW BORROWER'!D11*1.5/200)</f>
        <v>0</v>
      </c>
      <c r="I38" s="542">
        <f>IF('NEW BORROWER'!E11&lt;250000,0,'NEW BORROWER'!E11*1.5/200)</f>
        <v>0</v>
      </c>
      <c r="J38" s="528"/>
      <c r="K38" s="528"/>
      <c r="L38" s="529"/>
      <c r="M38" s="530"/>
      <c r="N38" s="530"/>
      <c r="O38" s="528"/>
      <c r="P38" s="528"/>
      <c r="Q38" s="528"/>
      <c r="R38" s="539">
        <v>3</v>
      </c>
      <c r="S38" s="544">
        <f>IF(M24*1%&lt;1500,M24*1%,1500)</f>
        <v>1500</v>
      </c>
      <c r="T38" s="544">
        <f>IF(M24&lt;250000,0,M24/200)</f>
        <v>0</v>
      </c>
      <c r="U38" s="544">
        <f>(M24/1000)*G99</f>
        <v>3027.4601690230998</v>
      </c>
      <c r="V38" s="544">
        <f ca="1">M24*$M$10*'NEW BORROWER'!C10/360</f>
        <v>1826.5219722612967</v>
      </c>
      <c r="W38" s="545">
        <f ca="1">SUM(S38:V38)</f>
        <v>6353.9821412843958</v>
      </c>
      <c r="X38" s="528"/>
      <c r="Y38" s="528"/>
      <c r="Z38" s="528"/>
      <c r="AA38" s="528"/>
      <c r="AB38" s="528"/>
      <c r="AC38" s="528"/>
      <c r="AD38" s="528"/>
      <c r="AE38" s="528"/>
      <c r="AF38" s="528"/>
      <c r="AG38" s="528"/>
      <c r="AH38" s="528"/>
      <c r="AI38" s="528"/>
      <c r="AJ38" s="528"/>
      <c r="AK38" s="528"/>
      <c r="AL38" s="528"/>
      <c r="AM38" s="528"/>
      <c r="AN38" s="528"/>
      <c r="AO38" s="528"/>
      <c r="AP38" s="528"/>
      <c r="AQ38" s="528"/>
      <c r="AR38" s="528"/>
      <c r="AS38" s="528"/>
      <c r="AT38" s="528"/>
      <c r="AU38" s="528"/>
      <c r="AV38" s="528"/>
      <c r="AW38" s="528"/>
      <c r="AX38" s="528"/>
      <c r="AY38" s="528"/>
      <c r="AZ38" s="528"/>
      <c r="BA38" s="528"/>
      <c r="BB38" s="528"/>
      <c r="BC38" s="528"/>
      <c r="BD38" s="528"/>
      <c r="BE38" s="528"/>
      <c r="BF38" s="528"/>
      <c r="BG38" s="528"/>
      <c r="BH38" s="528"/>
      <c r="BI38" s="528"/>
      <c r="BJ38" s="528"/>
      <c r="BK38" s="528"/>
      <c r="BL38" s="528"/>
      <c r="BM38" s="528"/>
      <c r="BN38" s="528"/>
      <c r="BO38" s="528"/>
      <c r="BP38" s="528"/>
      <c r="BQ38" s="528"/>
      <c r="BR38" s="528"/>
      <c r="BS38" s="528"/>
      <c r="BT38" s="528"/>
      <c r="BU38" s="528"/>
      <c r="BV38" s="528"/>
      <c r="BW38" s="528"/>
      <c r="BX38" s="528"/>
      <c r="BY38" s="528"/>
      <c r="BZ38" s="528"/>
      <c r="CA38" s="528"/>
      <c r="CB38" s="528"/>
      <c r="CC38" s="528"/>
      <c r="CD38" s="528"/>
      <c r="CE38" s="528"/>
      <c r="CF38" s="528"/>
      <c r="CG38" s="528"/>
      <c r="CH38" s="528"/>
      <c r="CI38" s="528"/>
      <c r="CJ38" s="528"/>
      <c r="CK38" s="528"/>
      <c r="CL38" s="528"/>
      <c r="CM38" s="528"/>
      <c r="CN38" s="528"/>
      <c r="CO38" s="528"/>
      <c r="CP38" s="528"/>
      <c r="CQ38" s="528"/>
      <c r="CR38" s="528"/>
      <c r="CS38" s="528"/>
      <c r="CT38" s="528"/>
      <c r="CU38" s="528"/>
      <c r="CV38" s="528"/>
      <c r="CW38" s="528"/>
      <c r="CX38" s="528"/>
      <c r="CY38" s="528"/>
      <c r="CZ38" s="528"/>
      <c r="DA38" s="528"/>
      <c r="DB38" s="528"/>
      <c r="DC38" s="528"/>
      <c r="DD38" s="528"/>
      <c r="DE38" s="528"/>
      <c r="DF38" s="528"/>
    </row>
    <row r="39" spans="1:110" s="534" customFormat="1" ht="27" outlineLevel="1">
      <c r="A39" s="527"/>
      <c r="B39" s="527"/>
      <c r="C39" s="527"/>
      <c r="D39" s="527"/>
      <c r="E39" s="541" t="s">
        <v>394</v>
      </c>
      <c r="F39" s="542">
        <f ca="1">'NEW BORROWER'!B11*'NEW BORROWER'!B10*$M$10/360</f>
        <v>0</v>
      </c>
      <c r="G39" s="542">
        <f ca="1">'NEW BORROWER'!C11*'NEW BORROWER'!C10*$M$10/360</f>
        <v>560</v>
      </c>
      <c r="H39" s="542">
        <f ca="1">'NEW BORROWER'!D11*'NEW BORROWER'!D10*$M$10/360</f>
        <v>392</v>
      </c>
      <c r="I39" s="542">
        <f ca="1">'NEW BORROWER'!E11*'NEW BORROWER'!E10*$M$10/360</f>
        <v>205.33333333333334</v>
      </c>
      <c r="J39" s="528"/>
      <c r="K39" s="528"/>
      <c r="L39" s="529"/>
      <c r="M39" s="530"/>
      <c r="N39" s="530"/>
      <c r="O39" s="528"/>
      <c r="P39" s="528"/>
      <c r="Q39" s="528"/>
      <c r="R39" s="539">
        <v>2</v>
      </c>
      <c r="S39" s="544">
        <f>IF(M25*1%&lt;1500,M25*1%,1500)</f>
        <v>1380.8201717458121</v>
      </c>
      <c r="T39" s="544">
        <f>IF(M25&lt;250000,0,M25/200)</f>
        <v>0</v>
      </c>
      <c r="U39" s="544">
        <f>(M25/1000)*G98</f>
        <v>1553.4226932140386</v>
      </c>
      <c r="V39" s="544">
        <f ca="1">M25*$M$10*'NEW BORROWER'!D10/360</f>
        <v>1288.7654936294246</v>
      </c>
      <c r="W39" s="545">
        <f ca="1">SUM(S39:V39)</f>
        <v>4223.0083585892753</v>
      </c>
      <c r="X39" s="528"/>
      <c r="Y39" s="528"/>
      <c r="Z39" s="528"/>
      <c r="AA39" s="528"/>
      <c r="AB39" s="528"/>
      <c r="AC39" s="528"/>
      <c r="AD39" s="528"/>
      <c r="AE39" s="528"/>
      <c r="AF39" s="528"/>
      <c r="AG39" s="528"/>
      <c r="AH39" s="528"/>
      <c r="AI39" s="528"/>
      <c r="AJ39" s="528"/>
      <c r="AK39" s="528"/>
      <c r="AL39" s="528"/>
      <c r="AM39" s="528"/>
      <c r="AN39" s="528"/>
      <c r="AO39" s="528"/>
      <c r="AP39" s="528"/>
      <c r="AQ39" s="528"/>
      <c r="AR39" s="528"/>
      <c r="AS39" s="528"/>
      <c r="AT39" s="528"/>
      <c r="AU39" s="528"/>
      <c r="AV39" s="528"/>
      <c r="AW39" s="528"/>
      <c r="AX39" s="528"/>
      <c r="AY39" s="528"/>
      <c r="AZ39" s="528"/>
      <c r="BA39" s="528"/>
      <c r="BB39" s="528"/>
      <c r="BC39" s="528"/>
      <c r="BD39" s="528"/>
      <c r="BE39" s="528"/>
      <c r="BF39" s="528"/>
      <c r="BG39" s="528"/>
      <c r="BH39" s="528"/>
      <c r="BI39" s="528"/>
      <c r="BJ39" s="528"/>
      <c r="BK39" s="528"/>
      <c r="BL39" s="528"/>
      <c r="BM39" s="528"/>
      <c r="BN39" s="528"/>
      <c r="BO39" s="528"/>
      <c r="BP39" s="528"/>
      <c r="BQ39" s="528"/>
      <c r="BR39" s="528"/>
      <c r="BS39" s="528"/>
      <c r="BT39" s="528"/>
      <c r="BU39" s="528"/>
      <c r="BV39" s="528"/>
      <c r="BW39" s="528"/>
      <c r="BX39" s="528"/>
      <c r="BY39" s="528"/>
      <c r="BZ39" s="528"/>
      <c r="CA39" s="528"/>
      <c r="CB39" s="528"/>
      <c r="CC39" s="528"/>
      <c r="CD39" s="528"/>
      <c r="CE39" s="528"/>
      <c r="CF39" s="528"/>
      <c r="CG39" s="528"/>
      <c r="CH39" s="528"/>
      <c r="CI39" s="528"/>
      <c r="CJ39" s="528"/>
      <c r="CK39" s="528"/>
      <c r="CL39" s="528"/>
      <c r="CM39" s="528"/>
      <c r="CN39" s="528"/>
      <c r="CO39" s="528"/>
      <c r="CP39" s="528"/>
      <c r="CQ39" s="528"/>
      <c r="CR39" s="528"/>
      <c r="CS39" s="528"/>
      <c r="CT39" s="528"/>
      <c r="CU39" s="528"/>
      <c r="CV39" s="528"/>
      <c r="CW39" s="528"/>
      <c r="CX39" s="528"/>
      <c r="CY39" s="528"/>
      <c r="CZ39" s="528"/>
      <c r="DA39" s="528"/>
      <c r="DB39" s="528"/>
      <c r="DC39" s="528"/>
      <c r="DD39" s="528"/>
      <c r="DE39" s="528"/>
      <c r="DF39" s="528"/>
    </row>
    <row r="40" spans="1:110" s="534" customFormat="1" ht="27" outlineLevel="1">
      <c r="A40" s="527"/>
      <c r="B40" s="527"/>
      <c r="C40" s="527"/>
      <c r="D40" s="527"/>
      <c r="E40" s="541" t="s">
        <v>363</v>
      </c>
      <c r="F40" s="542">
        <f>('NEW BORROWER'!B11/1000)*G100</f>
        <v>0</v>
      </c>
      <c r="G40" s="542">
        <f>'NEW BORROWER'!C11*G99/1000</f>
        <v>928.2</v>
      </c>
      <c r="H40" s="542">
        <f>'NEW BORROWER'!D11*G98/1000</f>
        <v>472.5</v>
      </c>
      <c r="I40" s="543">
        <f>'NEW BORROWER'!E11*G97/1000</f>
        <v>194.26</v>
      </c>
      <c r="J40" s="528"/>
      <c r="K40" s="528"/>
      <c r="L40" s="529"/>
      <c r="M40" s="530"/>
      <c r="N40" s="530"/>
      <c r="O40" s="528"/>
      <c r="P40" s="528"/>
      <c r="Q40" s="528"/>
      <c r="R40" s="539">
        <v>1</v>
      </c>
      <c r="S40" s="544">
        <f>IF(M26*1%&lt;1500,M26*1%,1500)</f>
        <v>731.58003577650118</v>
      </c>
      <c r="T40" s="544">
        <f>IF(M26&lt;250000,0,M26/200)</f>
        <v>0</v>
      </c>
      <c r="U40" s="544">
        <f>(M26/1000)*G97</f>
        <v>645.98517159065057</v>
      </c>
      <c r="V40" s="544">
        <f ca="1">M26*$M$10*'NEW BORROWER'!E10/360</f>
        <v>682.80803339140107</v>
      </c>
      <c r="W40" s="545">
        <f ca="1">SUM(S40:V40)</f>
        <v>2060.373240758553</v>
      </c>
      <c r="X40" s="528"/>
      <c r="Y40" s="528"/>
      <c r="Z40" s="528"/>
      <c r="AA40" s="528"/>
      <c r="AB40" s="528"/>
      <c r="AC40" s="528"/>
      <c r="AD40" s="528"/>
      <c r="AE40" s="528"/>
      <c r="AF40" s="528"/>
      <c r="AG40" s="528"/>
      <c r="AH40" s="528"/>
      <c r="AI40" s="528"/>
      <c r="AJ40" s="528"/>
      <c r="AK40" s="528"/>
      <c r="AL40" s="528"/>
      <c r="AM40" s="528"/>
      <c r="AN40" s="528"/>
      <c r="AO40" s="528"/>
      <c r="AP40" s="528"/>
      <c r="AQ40" s="528"/>
      <c r="AR40" s="528"/>
      <c r="AS40" s="528"/>
      <c r="AT40" s="528"/>
      <c r="AU40" s="528"/>
      <c r="AV40" s="528"/>
      <c r="AW40" s="528"/>
      <c r="AX40" s="528"/>
      <c r="AY40" s="528"/>
      <c r="AZ40" s="528"/>
      <c r="BA40" s="528"/>
      <c r="BB40" s="528"/>
      <c r="BC40" s="528"/>
      <c r="BD40" s="528"/>
      <c r="BE40" s="528"/>
      <c r="BF40" s="528"/>
      <c r="BG40" s="528"/>
      <c r="BH40" s="528"/>
      <c r="BI40" s="528"/>
      <c r="BJ40" s="528"/>
      <c r="BK40" s="528"/>
      <c r="BL40" s="528"/>
      <c r="BM40" s="528"/>
      <c r="BN40" s="528"/>
      <c r="BO40" s="528"/>
      <c r="BP40" s="528"/>
      <c r="BQ40" s="528"/>
      <c r="BR40" s="528"/>
      <c r="BS40" s="528"/>
      <c r="BT40" s="528"/>
      <c r="BU40" s="528"/>
      <c r="BV40" s="528"/>
      <c r="BW40" s="528"/>
      <c r="BX40" s="528"/>
      <c r="BY40" s="528"/>
      <c r="BZ40" s="528"/>
      <c r="CA40" s="528"/>
      <c r="CB40" s="528"/>
      <c r="CC40" s="528"/>
      <c r="CD40" s="528"/>
      <c r="CE40" s="528"/>
      <c r="CF40" s="528"/>
      <c r="CG40" s="528"/>
      <c r="CH40" s="528"/>
      <c r="CI40" s="528"/>
      <c r="CJ40" s="528"/>
      <c r="CK40" s="528"/>
      <c r="CL40" s="528"/>
      <c r="CM40" s="528"/>
      <c r="CN40" s="528"/>
      <c r="CO40" s="528"/>
      <c r="CP40" s="528"/>
      <c r="CQ40" s="528"/>
      <c r="CR40" s="528"/>
      <c r="CS40" s="528"/>
      <c r="CT40" s="528"/>
      <c r="CU40" s="528"/>
      <c r="CV40" s="528"/>
      <c r="CW40" s="528"/>
      <c r="CX40" s="528"/>
      <c r="CY40" s="528"/>
      <c r="CZ40" s="528"/>
      <c r="DA40" s="528"/>
      <c r="DB40" s="528"/>
      <c r="DC40" s="528"/>
      <c r="DD40" s="528"/>
      <c r="DE40" s="528"/>
      <c r="DF40" s="528"/>
    </row>
    <row r="41" spans="1:110" s="534" customFormat="1" ht="27.5" outlineLevel="1" thickBot="1">
      <c r="A41" s="527"/>
      <c r="B41" s="527"/>
      <c r="C41" s="527"/>
      <c r="D41" s="527"/>
      <c r="E41" s="546" t="s">
        <v>364</v>
      </c>
      <c r="F41" s="547">
        <f ca="1">SUM(F37:F40)</f>
        <v>0</v>
      </c>
      <c r="G41" s="547">
        <f ca="1">SUM(G37:G40)</f>
        <v>2088.1999999999998</v>
      </c>
      <c r="H41" s="547">
        <f ca="1">SUM(H37:H40)</f>
        <v>1284.5</v>
      </c>
      <c r="I41" s="548">
        <f ca="1">SUM(I37:I40)</f>
        <v>619.59333333333336</v>
      </c>
      <c r="J41" s="528"/>
      <c r="K41" s="528"/>
      <c r="L41" s="529"/>
      <c r="M41" s="530"/>
      <c r="N41" s="530"/>
      <c r="O41" s="528"/>
      <c r="P41" s="528"/>
      <c r="Q41" s="528"/>
      <c r="R41" s="527"/>
      <c r="S41" s="527"/>
      <c r="T41" s="527"/>
      <c r="U41" s="527"/>
      <c r="V41" s="528"/>
      <c r="W41" s="528"/>
      <c r="X41" s="528"/>
      <c r="Y41" s="528"/>
      <c r="Z41" s="528"/>
      <c r="AA41" s="528"/>
      <c r="AB41" s="528"/>
      <c r="AC41" s="528"/>
      <c r="AD41" s="528"/>
      <c r="AE41" s="528"/>
      <c r="AF41" s="528"/>
      <c r="AG41" s="528"/>
      <c r="AH41" s="528"/>
      <c r="AI41" s="528"/>
      <c r="AJ41" s="528"/>
      <c r="AK41" s="528"/>
      <c r="AL41" s="528"/>
      <c r="AM41" s="528"/>
      <c r="AN41" s="528"/>
      <c r="AO41" s="528"/>
      <c r="AP41" s="528"/>
      <c r="AQ41" s="528"/>
      <c r="AR41" s="528"/>
      <c r="AS41" s="528"/>
      <c r="AT41" s="528"/>
      <c r="AU41" s="528"/>
      <c r="AV41" s="528"/>
      <c r="AW41" s="528"/>
      <c r="AX41" s="528"/>
      <c r="AY41" s="528"/>
      <c r="AZ41" s="528"/>
      <c r="BA41" s="528"/>
      <c r="BB41" s="528"/>
      <c r="BC41" s="528"/>
      <c r="BD41" s="528"/>
      <c r="BE41" s="528"/>
      <c r="BF41" s="528"/>
      <c r="BG41" s="528"/>
      <c r="BH41" s="528"/>
      <c r="BI41" s="528"/>
      <c r="BJ41" s="528"/>
      <c r="BK41" s="528"/>
      <c r="BL41" s="528"/>
      <c r="BM41" s="528"/>
      <c r="BN41" s="528"/>
      <c r="BO41" s="528"/>
      <c r="BP41" s="528"/>
      <c r="BQ41" s="528"/>
      <c r="BR41" s="528"/>
      <c r="BS41" s="528"/>
      <c r="BT41" s="528"/>
      <c r="BU41" s="528"/>
      <c r="BV41" s="528"/>
      <c r="BW41" s="528"/>
      <c r="BX41" s="528"/>
      <c r="BY41" s="528"/>
      <c r="BZ41" s="528"/>
      <c r="CA41" s="528"/>
      <c r="CB41" s="528"/>
      <c r="CC41" s="528"/>
      <c r="CD41" s="528"/>
      <c r="CE41" s="528"/>
      <c r="CF41" s="528"/>
      <c r="CG41" s="528"/>
      <c r="CH41" s="528"/>
      <c r="CI41" s="528"/>
      <c r="CJ41" s="528"/>
      <c r="CK41" s="528"/>
      <c r="CL41" s="528"/>
      <c r="CM41" s="528"/>
      <c r="CN41" s="528"/>
      <c r="CO41" s="528"/>
      <c r="CP41" s="528"/>
      <c r="CQ41" s="528"/>
      <c r="CR41" s="528"/>
      <c r="CS41" s="528"/>
      <c r="CT41" s="528"/>
      <c r="CU41" s="528"/>
      <c r="CV41" s="528"/>
      <c r="CW41" s="528"/>
      <c r="CX41" s="528"/>
      <c r="CY41" s="528"/>
      <c r="CZ41" s="528"/>
      <c r="DA41" s="528"/>
      <c r="DB41" s="528"/>
      <c r="DC41" s="528"/>
      <c r="DD41" s="528"/>
      <c r="DE41" s="528"/>
      <c r="DF41" s="528"/>
    </row>
    <row r="42" spans="1:110" s="534" customFormat="1" ht="27.5" outlineLevel="1" thickTop="1">
      <c r="A42" s="527"/>
      <c r="B42" s="527"/>
      <c r="C42" s="527"/>
      <c r="D42" s="527"/>
      <c r="E42" s="541"/>
      <c r="F42" s="542"/>
      <c r="G42" s="542"/>
      <c r="H42" s="542"/>
      <c r="I42" s="543"/>
      <c r="J42" s="528"/>
      <c r="K42" s="528"/>
      <c r="L42" s="529"/>
      <c r="M42" s="530"/>
      <c r="N42" s="530"/>
      <c r="O42" s="528"/>
      <c r="P42" s="528"/>
      <c r="Q42" s="528"/>
      <c r="R42" s="527"/>
      <c r="S42" s="549" t="s">
        <v>407</v>
      </c>
      <c r="T42" s="527"/>
      <c r="U42" s="527"/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8"/>
      <c r="AZ42" s="528"/>
      <c r="BA42" s="528"/>
      <c r="BB42" s="528"/>
      <c r="BC42" s="528"/>
      <c r="BD42" s="528"/>
      <c r="BE42" s="528"/>
      <c r="BF42" s="528"/>
      <c r="BG42" s="528"/>
      <c r="BH42" s="528"/>
      <c r="BI42" s="528"/>
      <c r="BJ42" s="528"/>
      <c r="BK42" s="528"/>
      <c r="BL42" s="528"/>
      <c r="BM42" s="528"/>
      <c r="BN42" s="528"/>
      <c r="BO42" s="528"/>
      <c r="BP42" s="528"/>
      <c r="BQ42" s="528"/>
      <c r="BR42" s="528"/>
      <c r="BS42" s="528"/>
      <c r="BT42" s="528"/>
      <c r="BU42" s="528"/>
      <c r="BV42" s="528"/>
      <c r="BW42" s="528"/>
      <c r="BX42" s="528"/>
      <c r="BY42" s="528"/>
      <c r="BZ42" s="528"/>
      <c r="CA42" s="528"/>
      <c r="CB42" s="528"/>
      <c r="CC42" s="528"/>
      <c r="CD42" s="528"/>
      <c r="CE42" s="528"/>
      <c r="CF42" s="528"/>
      <c r="CG42" s="528"/>
      <c r="CH42" s="528"/>
      <c r="CI42" s="528"/>
      <c r="CJ42" s="528"/>
      <c r="CK42" s="528"/>
      <c r="CL42" s="528"/>
      <c r="CM42" s="528"/>
      <c r="CN42" s="528"/>
      <c r="CO42" s="528"/>
      <c r="CP42" s="528"/>
      <c r="CQ42" s="528"/>
      <c r="CR42" s="528"/>
      <c r="CS42" s="528"/>
      <c r="CT42" s="528"/>
      <c r="CU42" s="528"/>
      <c r="CV42" s="528"/>
      <c r="CW42" s="528"/>
      <c r="CX42" s="528"/>
      <c r="CY42" s="528"/>
      <c r="CZ42" s="528"/>
      <c r="DA42" s="528"/>
      <c r="DB42" s="528"/>
      <c r="DC42" s="528"/>
      <c r="DD42" s="528"/>
      <c r="DE42" s="528"/>
      <c r="DF42" s="528"/>
    </row>
    <row r="43" spans="1:110" s="534" customFormat="1" ht="35" outlineLevel="1">
      <c r="A43" s="527"/>
      <c r="B43" s="527"/>
      <c r="C43" s="527"/>
      <c r="D43" s="527"/>
      <c r="E43" s="613" t="s">
        <v>421</v>
      </c>
      <c r="F43" s="613"/>
      <c r="G43" s="613"/>
      <c r="H43" s="613"/>
      <c r="I43" s="613"/>
      <c r="J43" s="528"/>
      <c r="K43" s="528"/>
      <c r="L43" s="529"/>
      <c r="M43" s="530"/>
      <c r="N43" s="530"/>
      <c r="O43" s="528"/>
      <c r="P43" s="528"/>
      <c r="Q43" s="528"/>
      <c r="R43" s="527"/>
      <c r="S43" s="549"/>
      <c r="T43" s="527"/>
      <c r="U43" s="527"/>
      <c r="V43" s="528"/>
      <c r="W43" s="528"/>
      <c r="X43" s="528"/>
      <c r="Y43" s="528"/>
      <c r="Z43" s="528"/>
      <c r="AA43" s="528"/>
      <c r="AB43" s="528"/>
      <c r="AC43" s="528"/>
      <c r="AD43" s="528"/>
      <c r="AE43" s="528"/>
      <c r="AF43" s="528"/>
      <c r="AG43" s="528"/>
      <c r="AH43" s="528"/>
      <c r="AI43" s="528"/>
      <c r="AJ43" s="528"/>
      <c r="AK43" s="528"/>
      <c r="AL43" s="528"/>
      <c r="AM43" s="528"/>
      <c r="AN43" s="528"/>
      <c r="AO43" s="528"/>
      <c r="AP43" s="528"/>
      <c r="AQ43" s="528"/>
      <c r="AR43" s="528"/>
      <c r="AS43" s="528"/>
      <c r="AT43" s="528"/>
      <c r="AU43" s="528"/>
      <c r="AV43" s="528"/>
      <c r="AW43" s="528"/>
      <c r="AX43" s="528"/>
      <c r="AY43" s="528"/>
      <c r="AZ43" s="528"/>
      <c r="BA43" s="528"/>
      <c r="BB43" s="528"/>
      <c r="BC43" s="528"/>
      <c r="BD43" s="528"/>
      <c r="BE43" s="528"/>
      <c r="BF43" s="528"/>
      <c r="BG43" s="528"/>
      <c r="BH43" s="528"/>
      <c r="BI43" s="528"/>
      <c r="BJ43" s="528"/>
      <c r="BK43" s="528"/>
      <c r="BL43" s="528"/>
      <c r="BM43" s="528"/>
      <c r="BN43" s="528"/>
      <c r="BO43" s="528"/>
      <c r="BP43" s="528"/>
      <c r="BQ43" s="528"/>
      <c r="BR43" s="528"/>
      <c r="BS43" s="528"/>
      <c r="BT43" s="528"/>
      <c r="BU43" s="528"/>
      <c r="BV43" s="528"/>
      <c r="BW43" s="528"/>
      <c r="BX43" s="528"/>
      <c r="BY43" s="528"/>
      <c r="BZ43" s="528"/>
      <c r="CA43" s="528"/>
      <c r="CB43" s="528"/>
      <c r="CC43" s="528"/>
      <c r="CD43" s="528"/>
      <c r="CE43" s="528"/>
      <c r="CF43" s="528"/>
      <c r="CG43" s="528"/>
      <c r="CH43" s="528"/>
      <c r="CI43" s="528"/>
      <c r="CJ43" s="528"/>
      <c r="CK43" s="528"/>
      <c r="CL43" s="528"/>
      <c r="CM43" s="528"/>
      <c r="CN43" s="528"/>
      <c r="CO43" s="528"/>
      <c r="CP43" s="528"/>
      <c r="CQ43" s="528"/>
      <c r="CR43" s="528"/>
      <c r="CS43" s="528"/>
      <c r="CT43" s="528"/>
      <c r="CU43" s="528"/>
      <c r="CV43" s="528"/>
      <c r="CW43" s="528"/>
      <c r="CX43" s="528"/>
      <c r="CY43" s="528"/>
      <c r="CZ43" s="528"/>
      <c r="DA43" s="528"/>
      <c r="DB43" s="528"/>
      <c r="DC43" s="528"/>
      <c r="DD43" s="528"/>
      <c r="DE43" s="528"/>
      <c r="DF43" s="528"/>
    </row>
    <row r="44" spans="1:110" s="534" customFormat="1" ht="27" outlineLevel="1">
      <c r="A44" s="527"/>
      <c r="B44" s="527"/>
      <c r="C44" s="527"/>
      <c r="D44" s="527"/>
      <c r="E44" s="577"/>
      <c r="F44" s="577"/>
      <c r="G44" s="577"/>
      <c r="H44" s="577"/>
      <c r="I44" s="577"/>
      <c r="J44" s="528"/>
      <c r="K44" s="528"/>
      <c r="L44" s="529"/>
      <c r="M44" s="530"/>
      <c r="N44" s="530"/>
      <c r="O44" s="528"/>
      <c r="P44" s="528"/>
      <c r="Q44" s="528"/>
      <c r="R44" s="527"/>
      <c r="S44" s="549"/>
      <c r="T44" s="527"/>
      <c r="U44" s="527"/>
      <c r="V44" s="528"/>
      <c r="W44" s="528"/>
      <c r="X44" s="528"/>
      <c r="Y44" s="528"/>
      <c r="Z44" s="528"/>
      <c r="AA44" s="528"/>
      <c r="AB44" s="528"/>
      <c r="AC44" s="528"/>
      <c r="AD44" s="528"/>
      <c r="AE44" s="528"/>
      <c r="AF44" s="528"/>
      <c r="AG44" s="528"/>
      <c r="AH44" s="528"/>
      <c r="AI44" s="528"/>
      <c r="AJ44" s="528"/>
      <c r="AK44" s="528"/>
      <c r="AL44" s="528"/>
      <c r="AM44" s="528"/>
      <c r="AN44" s="528"/>
      <c r="AO44" s="528"/>
      <c r="AP44" s="528"/>
      <c r="AQ44" s="528"/>
      <c r="AR44" s="528"/>
      <c r="AS44" s="528"/>
      <c r="AT44" s="528"/>
      <c r="AU44" s="528"/>
      <c r="AV44" s="528"/>
      <c r="AW44" s="528"/>
      <c r="AX44" s="528"/>
      <c r="AY44" s="528"/>
      <c r="AZ44" s="528"/>
      <c r="BA44" s="528"/>
      <c r="BB44" s="528"/>
      <c r="BC44" s="528"/>
      <c r="BD44" s="528"/>
      <c r="BE44" s="528"/>
      <c r="BF44" s="528"/>
      <c r="BG44" s="528"/>
      <c r="BH44" s="528"/>
      <c r="BI44" s="528"/>
      <c r="BJ44" s="528"/>
      <c r="BK44" s="528"/>
      <c r="BL44" s="528"/>
      <c r="BM44" s="528"/>
      <c r="BN44" s="528"/>
      <c r="BO44" s="528"/>
      <c r="BP44" s="528"/>
      <c r="BQ44" s="528"/>
      <c r="BR44" s="528"/>
      <c r="BS44" s="528"/>
      <c r="BT44" s="528"/>
      <c r="BU44" s="528"/>
      <c r="BV44" s="528"/>
      <c r="BW44" s="528"/>
      <c r="BX44" s="528"/>
      <c r="BY44" s="528"/>
      <c r="BZ44" s="528"/>
      <c r="CA44" s="528"/>
      <c r="CB44" s="528"/>
      <c r="CC44" s="528"/>
      <c r="CD44" s="528"/>
      <c r="CE44" s="528"/>
      <c r="CF44" s="528"/>
      <c r="CG44" s="528"/>
      <c r="CH44" s="528"/>
      <c r="CI44" s="528"/>
      <c r="CJ44" s="528"/>
      <c r="CK44" s="528"/>
      <c r="CL44" s="528"/>
      <c r="CM44" s="528"/>
      <c r="CN44" s="528"/>
      <c r="CO44" s="528"/>
      <c r="CP44" s="528"/>
      <c r="CQ44" s="528"/>
      <c r="CR44" s="528"/>
      <c r="CS44" s="528"/>
      <c r="CT44" s="528"/>
      <c r="CU44" s="528"/>
      <c r="CV44" s="528"/>
      <c r="CW44" s="528"/>
      <c r="CX44" s="528"/>
      <c r="CY44" s="528"/>
      <c r="CZ44" s="528"/>
      <c r="DA44" s="528"/>
      <c r="DB44" s="528"/>
      <c r="DC44" s="528"/>
      <c r="DD44" s="528"/>
      <c r="DE44" s="528"/>
      <c r="DF44" s="528"/>
    </row>
    <row r="45" spans="1:110" s="534" customFormat="1" ht="27" outlineLevel="1">
      <c r="A45" s="527"/>
      <c r="B45" s="527"/>
      <c r="C45" s="527"/>
      <c r="D45" s="527"/>
      <c r="E45" s="584" t="s">
        <v>390</v>
      </c>
      <c r="F45" s="579">
        <f>'NEW BORROWER'!C5+F15+I15</f>
        <v>8000</v>
      </c>
      <c r="G45" s="578"/>
      <c r="H45" s="578"/>
      <c r="I45" s="578"/>
      <c r="J45" s="528"/>
      <c r="K45" s="528"/>
      <c r="L45" s="529"/>
      <c r="M45" s="530"/>
      <c r="N45" s="530"/>
      <c r="O45" s="528"/>
      <c r="P45" s="528"/>
      <c r="Q45" s="528"/>
      <c r="R45" s="527"/>
      <c r="S45" s="540" t="s">
        <v>403</v>
      </c>
      <c r="T45" s="540" t="s">
        <v>404</v>
      </c>
      <c r="U45" s="540" t="s">
        <v>363</v>
      </c>
      <c r="V45" s="540" t="s">
        <v>405</v>
      </c>
      <c r="W45" s="540" t="s">
        <v>386</v>
      </c>
      <c r="X45" s="528"/>
      <c r="Y45" s="528"/>
      <c r="Z45" s="528"/>
      <c r="AA45" s="528"/>
      <c r="AB45" s="528"/>
      <c r="AC45" s="528"/>
      <c r="AD45" s="528"/>
      <c r="AE45" s="528"/>
      <c r="AF45" s="528"/>
      <c r="AG45" s="528"/>
      <c r="AH45" s="528"/>
      <c r="AI45" s="528"/>
      <c r="AJ45" s="528"/>
      <c r="AK45" s="528"/>
      <c r="AL45" s="528"/>
      <c r="AM45" s="528"/>
      <c r="AN45" s="528"/>
      <c r="AO45" s="528"/>
      <c r="AP45" s="528"/>
      <c r="AQ45" s="528"/>
      <c r="AR45" s="528"/>
      <c r="AS45" s="528"/>
      <c r="AT45" s="528"/>
      <c r="AU45" s="528"/>
      <c r="AV45" s="528"/>
      <c r="AW45" s="528"/>
      <c r="AX45" s="528"/>
      <c r="AY45" s="528"/>
      <c r="AZ45" s="528"/>
      <c r="BA45" s="528"/>
      <c r="BB45" s="528"/>
      <c r="BC45" s="528"/>
      <c r="BD45" s="528"/>
      <c r="BE45" s="528"/>
      <c r="BF45" s="528"/>
      <c r="BG45" s="528"/>
      <c r="BH45" s="528"/>
      <c r="BI45" s="528"/>
      <c r="BJ45" s="528"/>
      <c r="BK45" s="528"/>
      <c r="BL45" s="528"/>
      <c r="BM45" s="528"/>
      <c r="BN45" s="528"/>
      <c r="BO45" s="528"/>
      <c r="BP45" s="528"/>
      <c r="BQ45" s="528"/>
      <c r="BR45" s="528"/>
      <c r="BS45" s="528"/>
      <c r="BT45" s="528"/>
      <c r="BU45" s="528"/>
      <c r="BV45" s="528"/>
      <c r="BW45" s="528"/>
      <c r="BX45" s="528"/>
      <c r="BY45" s="528"/>
      <c r="BZ45" s="528"/>
      <c r="CA45" s="528"/>
      <c r="CB45" s="528"/>
      <c r="CC45" s="528"/>
      <c r="CD45" s="528"/>
      <c r="CE45" s="528"/>
      <c r="CF45" s="528"/>
      <c r="CG45" s="528"/>
      <c r="CH45" s="528"/>
      <c r="CI45" s="528"/>
      <c r="CJ45" s="528"/>
      <c r="CK45" s="528"/>
      <c r="CL45" s="528"/>
      <c r="CM45" s="528"/>
      <c r="CN45" s="528"/>
      <c r="CO45" s="528"/>
      <c r="CP45" s="528"/>
      <c r="CQ45" s="528"/>
      <c r="CR45" s="528"/>
      <c r="CS45" s="528"/>
      <c r="CT45" s="528"/>
      <c r="CU45" s="528"/>
      <c r="CV45" s="528"/>
      <c r="CW45" s="528"/>
      <c r="CX45" s="528"/>
      <c r="CY45" s="528"/>
      <c r="CZ45" s="528"/>
      <c r="DA45" s="528"/>
      <c r="DB45" s="528"/>
      <c r="DC45" s="528"/>
      <c r="DD45" s="528"/>
      <c r="DE45" s="528"/>
      <c r="DF45" s="528"/>
    </row>
    <row r="46" spans="1:110" s="534" customFormat="1" ht="27" outlineLevel="1">
      <c r="A46" s="527"/>
      <c r="B46" s="527"/>
      <c r="C46" s="527"/>
      <c r="D46" s="527"/>
      <c r="E46" s="584" t="s">
        <v>417</v>
      </c>
      <c r="F46" s="579">
        <f>IF(F11&gt;0,M9,IF('NEW BORROWER'!C3&lt;18000,H68,IF('NEW BORROWER'!C3&lt;38000,H69,H70)))</f>
        <v>6000</v>
      </c>
      <c r="G46" s="578"/>
      <c r="H46" s="578"/>
      <c r="I46" s="578"/>
      <c r="J46" s="528"/>
      <c r="K46" s="528"/>
      <c r="L46" s="529"/>
      <c r="M46" s="530"/>
      <c r="N46" s="530"/>
      <c r="O46" s="528"/>
      <c r="P46" s="528"/>
      <c r="Q46" s="528"/>
      <c r="R46" s="527"/>
      <c r="S46" s="540"/>
      <c r="T46" s="540"/>
      <c r="U46" s="540"/>
      <c r="V46" s="540"/>
      <c r="W46" s="540"/>
      <c r="X46" s="528"/>
      <c r="Y46" s="528"/>
      <c r="Z46" s="528"/>
      <c r="AA46" s="528"/>
      <c r="AB46" s="528"/>
      <c r="AC46" s="528"/>
      <c r="AD46" s="528"/>
      <c r="AE46" s="528"/>
      <c r="AF46" s="528"/>
      <c r="AG46" s="528"/>
      <c r="AH46" s="528"/>
      <c r="AI46" s="528"/>
      <c r="AJ46" s="528"/>
      <c r="AK46" s="528"/>
      <c r="AL46" s="528"/>
      <c r="AM46" s="528"/>
      <c r="AN46" s="528"/>
      <c r="AO46" s="528"/>
      <c r="AP46" s="528"/>
      <c r="AQ46" s="528"/>
      <c r="AR46" s="528"/>
      <c r="AS46" s="528"/>
      <c r="AT46" s="528"/>
      <c r="AU46" s="528"/>
      <c r="AV46" s="528"/>
      <c r="AW46" s="528"/>
      <c r="AX46" s="528"/>
      <c r="AY46" s="528"/>
      <c r="AZ46" s="528"/>
      <c r="BA46" s="528"/>
      <c r="BB46" s="528"/>
      <c r="BC46" s="528"/>
      <c r="BD46" s="528"/>
      <c r="BE46" s="528"/>
      <c r="BF46" s="528"/>
      <c r="BG46" s="528"/>
      <c r="BH46" s="528"/>
      <c r="BI46" s="528"/>
      <c r="BJ46" s="528"/>
      <c r="BK46" s="528"/>
      <c r="BL46" s="528"/>
      <c r="BM46" s="528"/>
      <c r="BN46" s="528"/>
      <c r="BO46" s="528"/>
      <c r="BP46" s="528"/>
      <c r="BQ46" s="528"/>
      <c r="BR46" s="528"/>
      <c r="BS46" s="528"/>
      <c r="BT46" s="528"/>
      <c r="BU46" s="528"/>
      <c r="BV46" s="528"/>
      <c r="BW46" s="528"/>
      <c r="BX46" s="528"/>
      <c r="BY46" s="528"/>
      <c r="BZ46" s="528"/>
      <c r="CA46" s="528"/>
      <c r="CB46" s="528"/>
      <c r="CC46" s="528"/>
      <c r="CD46" s="528"/>
      <c r="CE46" s="528"/>
      <c r="CF46" s="528"/>
      <c r="CG46" s="528"/>
      <c r="CH46" s="528"/>
      <c r="CI46" s="528"/>
      <c r="CJ46" s="528"/>
      <c r="CK46" s="528"/>
      <c r="CL46" s="528"/>
      <c r="CM46" s="528"/>
      <c r="CN46" s="528"/>
      <c r="CO46" s="528"/>
      <c r="CP46" s="528"/>
      <c r="CQ46" s="528"/>
      <c r="CR46" s="528"/>
      <c r="CS46" s="528"/>
      <c r="CT46" s="528"/>
      <c r="CU46" s="528"/>
      <c r="CV46" s="528"/>
      <c r="CW46" s="528"/>
      <c r="CX46" s="528"/>
      <c r="CY46" s="528"/>
      <c r="CZ46" s="528"/>
      <c r="DA46" s="528"/>
      <c r="DB46" s="528"/>
      <c r="DC46" s="528"/>
      <c r="DD46" s="528"/>
      <c r="DE46" s="528"/>
      <c r="DF46" s="528"/>
    </row>
    <row r="47" spans="1:110" s="534" customFormat="1" ht="27" outlineLevel="1">
      <c r="A47" s="527"/>
      <c r="B47" s="527"/>
      <c r="C47" s="527"/>
      <c r="D47" s="527"/>
      <c r="E47" s="584" t="s">
        <v>393</v>
      </c>
      <c r="F47" s="581">
        <f>F45-F46</f>
        <v>2000</v>
      </c>
      <c r="G47" s="578"/>
      <c r="H47" s="578"/>
      <c r="I47" s="578"/>
      <c r="J47" s="528"/>
      <c r="K47" s="528"/>
      <c r="L47" s="529"/>
      <c r="M47" s="530"/>
      <c r="N47" s="530"/>
      <c r="O47" s="528"/>
      <c r="P47" s="528"/>
      <c r="Q47" s="528"/>
      <c r="R47" s="527"/>
      <c r="S47" s="544">
        <f>IF(M13*1%&lt;1500,M37*1%,1500)</f>
        <v>1500</v>
      </c>
      <c r="T47" s="544">
        <f>IF(M13&lt;250000,0,M13/200)</f>
        <v>0</v>
      </c>
      <c r="U47" s="544">
        <f>(M13/1000)*G100</f>
        <v>3054</v>
      </c>
      <c r="V47" s="544">
        <f ca="1">M13*$M$10*'NEW BORROWER'!B10/360</f>
        <v>1750</v>
      </c>
      <c r="W47" s="545">
        <f ca="1">SUM(S47:V47)</f>
        <v>6304</v>
      </c>
      <c r="X47" s="528"/>
      <c r="Y47" s="528"/>
      <c r="Z47" s="528"/>
      <c r="AA47" s="528"/>
      <c r="AB47" s="528"/>
      <c r="AC47" s="528"/>
      <c r="AD47" s="528"/>
      <c r="AE47" s="528"/>
      <c r="AF47" s="528"/>
      <c r="AG47" s="528"/>
      <c r="AH47" s="528"/>
      <c r="AI47" s="528"/>
      <c r="AJ47" s="528"/>
      <c r="AK47" s="528"/>
      <c r="AL47" s="528"/>
      <c r="AM47" s="528"/>
      <c r="AN47" s="528"/>
      <c r="AO47" s="528"/>
      <c r="AP47" s="528"/>
      <c r="AQ47" s="528"/>
      <c r="AR47" s="528"/>
      <c r="AS47" s="528"/>
      <c r="AT47" s="528"/>
      <c r="AU47" s="528"/>
      <c r="AV47" s="528"/>
      <c r="AW47" s="528"/>
      <c r="AX47" s="528"/>
      <c r="AY47" s="528"/>
      <c r="AZ47" s="528"/>
      <c r="BA47" s="528"/>
      <c r="BB47" s="528"/>
      <c r="BC47" s="528"/>
      <c r="BD47" s="528"/>
      <c r="BE47" s="528"/>
      <c r="BF47" s="528"/>
      <c r="BG47" s="528"/>
      <c r="BH47" s="528"/>
      <c r="BI47" s="528"/>
      <c r="BJ47" s="528"/>
      <c r="BK47" s="528"/>
      <c r="BL47" s="528"/>
      <c r="BM47" s="528"/>
      <c r="BN47" s="528"/>
      <c r="BO47" s="528"/>
      <c r="BP47" s="528"/>
      <c r="BQ47" s="528"/>
      <c r="BR47" s="528"/>
      <c r="BS47" s="528"/>
      <c r="BT47" s="528"/>
      <c r="BU47" s="528"/>
      <c r="BV47" s="528"/>
      <c r="BW47" s="528"/>
      <c r="BX47" s="528"/>
      <c r="BY47" s="528"/>
      <c r="BZ47" s="528"/>
      <c r="CA47" s="528"/>
      <c r="CB47" s="528"/>
      <c r="CC47" s="528"/>
      <c r="CD47" s="528"/>
      <c r="CE47" s="528"/>
      <c r="CF47" s="528"/>
      <c r="CG47" s="528"/>
      <c r="CH47" s="528"/>
      <c r="CI47" s="528"/>
      <c r="CJ47" s="528"/>
      <c r="CK47" s="528"/>
      <c r="CL47" s="528"/>
      <c r="CM47" s="528"/>
      <c r="CN47" s="528"/>
      <c r="CO47" s="528"/>
      <c r="CP47" s="528"/>
      <c r="CQ47" s="528"/>
      <c r="CR47" s="528"/>
      <c r="CS47" s="528"/>
      <c r="CT47" s="528"/>
      <c r="CU47" s="528"/>
      <c r="CV47" s="528"/>
      <c r="CW47" s="528"/>
      <c r="CX47" s="528"/>
      <c r="CY47" s="528"/>
      <c r="CZ47" s="528"/>
      <c r="DA47" s="528"/>
      <c r="DB47" s="528"/>
      <c r="DC47" s="528"/>
      <c r="DD47" s="528"/>
      <c r="DE47" s="528"/>
      <c r="DF47" s="528"/>
    </row>
    <row r="48" spans="1:110" s="534" customFormat="1" ht="27" outlineLevel="1">
      <c r="A48" s="527"/>
      <c r="B48" s="527"/>
      <c r="C48" s="527"/>
      <c r="D48" s="527"/>
      <c r="E48" s="584" t="s">
        <v>416</v>
      </c>
      <c r="F48" s="582">
        <f>IF(F11&gt;0,IF('NEW BORROWER'!C3&lt;10000,20%,IF('NEW BORROWER'!C3&lt;13000,30%,IF('NEW BORROWER'!C3&lt;38000,35%,40%))),IF('NEW BORROWER'!C3&lt;10000,10%,IF('NEW BORROWER'!C3&lt;13000,25%,30%)))</f>
        <v>0.3</v>
      </c>
      <c r="G48" s="578"/>
      <c r="H48" s="578"/>
      <c r="I48" s="578"/>
      <c r="J48" s="528"/>
      <c r="K48" s="528"/>
      <c r="L48" s="529"/>
      <c r="M48" s="530"/>
      <c r="N48" s="530"/>
      <c r="O48" s="528"/>
      <c r="P48" s="528"/>
      <c r="Q48" s="528"/>
      <c r="R48" s="527"/>
      <c r="S48" s="527"/>
      <c r="T48" s="527"/>
      <c r="U48" s="527"/>
      <c r="V48" s="528"/>
      <c r="W48" s="528"/>
      <c r="X48" s="528"/>
      <c r="Y48" s="528"/>
      <c r="Z48" s="528"/>
      <c r="AA48" s="528"/>
      <c r="AB48" s="528"/>
      <c r="AC48" s="528"/>
      <c r="AD48" s="528"/>
      <c r="AE48" s="528"/>
      <c r="AF48" s="528"/>
      <c r="AG48" s="528"/>
      <c r="AH48" s="528"/>
      <c r="AI48" s="528"/>
      <c r="AJ48" s="528"/>
      <c r="AK48" s="528"/>
      <c r="AL48" s="528"/>
      <c r="AM48" s="528"/>
      <c r="AN48" s="528"/>
      <c r="AO48" s="528"/>
      <c r="AP48" s="528"/>
      <c r="AQ48" s="528"/>
      <c r="AR48" s="528"/>
      <c r="AS48" s="528"/>
      <c r="AT48" s="528"/>
      <c r="AU48" s="528"/>
      <c r="AV48" s="528"/>
      <c r="AW48" s="528"/>
      <c r="AX48" s="528"/>
      <c r="AY48" s="528"/>
      <c r="AZ48" s="528"/>
      <c r="BA48" s="528"/>
      <c r="BB48" s="528"/>
      <c r="BC48" s="528"/>
      <c r="BD48" s="528"/>
      <c r="BE48" s="528"/>
      <c r="BF48" s="528"/>
      <c r="BG48" s="528"/>
      <c r="BH48" s="528"/>
      <c r="BI48" s="528"/>
      <c r="BJ48" s="528"/>
      <c r="BK48" s="528"/>
      <c r="BL48" s="528"/>
      <c r="BM48" s="528"/>
      <c r="BN48" s="528"/>
      <c r="BO48" s="528"/>
      <c r="BP48" s="528"/>
      <c r="BQ48" s="528"/>
      <c r="BR48" s="528"/>
      <c r="BS48" s="528"/>
      <c r="BT48" s="528"/>
      <c r="BU48" s="528"/>
      <c r="BV48" s="528"/>
      <c r="BW48" s="528"/>
      <c r="BX48" s="528"/>
      <c r="BY48" s="528"/>
      <c r="BZ48" s="528"/>
      <c r="CA48" s="528"/>
      <c r="CB48" s="528"/>
      <c r="CC48" s="528"/>
      <c r="CD48" s="528"/>
      <c r="CE48" s="528"/>
      <c r="CF48" s="528"/>
      <c r="CG48" s="528"/>
      <c r="CH48" s="528"/>
      <c r="CI48" s="528"/>
      <c r="CJ48" s="528"/>
      <c r="CK48" s="528"/>
      <c r="CL48" s="528"/>
      <c r="CM48" s="528"/>
      <c r="CN48" s="528"/>
      <c r="CO48" s="528"/>
      <c r="CP48" s="528"/>
      <c r="CQ48" s="528"/>
      <c r="CR48" s="528"/>
      <c r="CS48" s="528"/>
      <c r="CT48" s="528"/>
      <c r="CU48" s="528"/>
      <c r="CV48" s="528"/>
      <c r="CW48" s="528"/>
      <c r="CX48" s="528"/>
      <c r="CY48" s="528"/>
      <c r="CZ48" s="528"/>
      <c r="DA48" s="528"/>
      <c r="DB48" s="528"/>
      <c r="DC48" s="528"/>
      <c r="DD48" s="528"/>
      <c r="DE48" s="528"/>
      <c r="DF48" s="528"/>
    </row>
    <row r="49" spans="1:110" s="534" customFormat="1" ht="27" outlineLevel="1">
      <c r="A49" s="527"/>
      <c r="B49" s="527"/>
      <c r="C49" s="527"/>
      <c r="D49" s="527"/>
      <c r="E49" s="584" t="s">
        <v>355</v>
      </c>
      <c r="F49" s="579">
        <f>F48*'NEW BORROWER'!C3</f>
        <v>4500</v>
      </c>
      <c r="G49" s="578"/>
      <c r="H49" s="578"/>
      <c r="I49" s="578"/>
      <c r="J49" s="528"/>
      <c r="K49" s="528"/>
      <c r="L49" s="529"/>
      <c r="M49" s="530"/>
      <c r="N49" s="530"/>
      <c r="O49" s="528"/>
      <c r="P49" s="528"/>
      <c r="Q49" s="528"/>
      <c r="R49" s="527"/>
      <c r="S49" s="527"/>
      <c r="T49" s="527"/>
      <c r="U49" s="527"/>
      <c r="V49" s="528"/>
      <c r="W49" s="528"/>
      <c r="X49" s="528"/>
      <c r="Y49" s="528"/>
      <c r="Z49" s="528"/>
      <c r="AA49" s="528"/>
      <c r="AB49" s="528"/>
      <c r="AC49" s="528"/>
      <c r="AD49" s="528"/>
      <c r="AE49" s="528"/>
      <c r="AF49" s="528"/>
      <c r="AG49" s="528"/>
      <c r="AH49" s="528"/>
      <c r="AI49" s="528"/>
      <c r="AJ49" s="528"/>
      <c r="AK49" s="528"/>
      <c r="AL49" s="528"/>
      <c r="AM49" s="528"/>
      <c r="AN49" s="528"/>
      <c r="AO49" s="528"/>
      <c r="AP49" s="528"/>
      <c r="AQ49" s="528"/>
      <c r="AR49" s="528"/>
      <c r="AS49" s="528"/>
      <c r="AT49" s="528"/>
      <c r="AU49" s="528"/>
      <c r="AV49" s="528"/>
      <c r="AW49" s="528"/>
      <c r="AX49" s="528"/>
      <c r="AY49" s="528"/>
      <c r="AZ49" s="528"/>
      <c r="BA49" s="528"/>
      <c r="BB49" s="528"/>
      <c r="BC49" s="528"/>
      <c r="BD49" s="528"/>
      <c r="BE49" s="528"/>
      <c r="BF49" s="528"/>
      <c r="BG49" s="528"/>
      <c r="BH49" s="528"/>
      <c r="BI49" s="528"/>
      <c r="BJ49" s="528"/>
      <c r="BK49" s="528"/>
      <c r="BL49" s="528"/>
      <c r="BM49" s="528"/>
      <c r="BN49" s="528"/>
      <c r="BO49" s="528"/>
      <c r="BP49" s="528"/>
      <c r="BQ49" s="528"/>
      <c r="BR49" s="528"/>
      <c r="BS49" s="528"/>
      <c r="BT49" s="528"/>
      <c r="BU49" s="528"/>
      <c r="BV49" s="528"/>
      <c r="BW49" s="528"/>
      <c r="BX49" s="528"/>
      <c r="BY49" s="528"/>
      <c r="BZ49" s="528"/>
      <c r="CA49" s="528"/>
      <c r="CB49" s="528"/>
      <c r="CC49" s="528"/>
      <c r="CD49" s="528"/>
      <c r="CE49" s="528"/>
      <c r="CF49" s="528"/>
      <c r="CG49" s="528"/>
      <c r="CH49" s="528"/>
      <c r="CI49" s="528"/>
      <c r="CJ49" s="528"/>
      <c r="CK49" s="528"/>
      <c r="CL49" s="528"/>
      <c r="CM49" s="528"/>
      <c r="CN49" s="528"/>
      <c r="CO49" s="528"/>
      <c r="CP49" s="528"/>
      <c r="CQ49" s="528"/>
      <c r="CR49" s="528"/>
      <c r="CS49" s="528"/>
      <c r="CT49" s="528"/>
      <c r="CU49" s="528"/>
      <c r="CV49" s="528"/>
      <c r="CW49" s="528"/>
      <c r="CX49" s="528"/>
      <c r="CY49" s="528"/>
      <c r="CZ49" s="528"/>
      <c r="DA49" s="528"/>
      <c r="DB49" s="528"/>
      <c r="DC49" s="528"/>
      <c r="DD49" s="528"/>
      <c r="DE49" s="528"/>
      <c r="DF49" s="528"/>
    </row>
    <row r="50" spans="1:110" s="534" customFormat="1" ht="27" outlineLevel="1">
      <c r="A50" s="527"/>
      <c r="B50" s="527"/>
      <c r="C50" s="527"/>
      <c r="D50" s="527"/>
      <c r="E50" s="584" t="s">
        <v>356</v>
      </c>
      <c r="F50" s="581">
        <f>IF(F47&lt;F49,F47,F49)</f>
        <v>2000</v>
      </c>
      <c r="G50" s="578"/>
      <c r="H50" s="578"/>
      <c r="I50" s="578"/>
      <c r="J50" s="528"/>
      <c r="K50" s="528"/>
      <c r="L50" s="529"/>
      <c r="M50" s="530"/>
      <c r="N50" s="530"/>
      <c r="O50" s="528"/>
      <c r="P50" s="528"/>
      <c r="Q50" s="528"/>
      <c r="R50" s="527"/>
      <c r="S50" s="527"/>
      <c r="T50" s="527"/>
      <c r="U50" s="527"/>
      <c r="V50" s="528"/>
      <c r="W50" s="528"/>
      <c r="X50" s="528"/>
      <c r="Y50" s="528"/>
      <c r="Z50" s="528"/>
      <c r="AA50" s="528"/>
      <c r="AB50" s="528"/>
      <c r="AC50" s="528"/>
      <c r="AD50" s="528"/>
      <c r="AE50" s="528"/>
      <c r="AF50" s="528"/>
      <c r="AG50" s="528"/>
      <c r="AH50" s="528"/>
      <c r="AI50" s="528"/>
      <c r="AJ50" s="528"/>
      <c r="AK50" s="528"/>
      <c r="AL50" s="528"/>
      <c r="AM50" s="528"/>
      <c r="AN50" s="528"/>
      <c r="AO50" s="528"/>
      <c r="AP50" s="528"/>
      <c r="AQ50" s="528"/>
      <c r="AR50" s="528"/>
      <c r="AS50" s="528"/>
      <c r="AT50" s="528"/>
      <c r="AU50" s="528"/>
      <c r="AV50" s="528"/>
      <c r="AW50" s="528"/>
      <c r="AX50" s="528"/>
      <c r="AY50" s="528"/>
      <c r="AZ50" s="528"/>
      <c r="BA50" s="528"/>
      <c r="BB50" s="528"/>
      <c r="BC50" s="528"/>
      <c r="BD50" s="528"/>
      <c r="BE50" s="528"/>
      <c r="BF50" s="528"/>
      <c r="BG50" s="528"/>
      <c r="BH50" s="528"/>
      <c r="BI50" s="528"/>
      <c r="BJ50" s="528"/>
      <c r="BK50" s="528"/>
      <c r="BL50" s="528"/>
      <c r="BM50" s="528"/>
      <c r="BN50" s="528"/>
      <c r="BO50" s="528"/>
      <c r="BP50" s="528"/>
      <c r="BQ50" s="528"/>
      <c r="BR50" s="528"/>
      <c r="BS50" s="528"/>
      <c r="BT50" s="528"/>
      <c r="BU50" s="528"/>
      <c r="BV50" s="528"/>
      <c r="BW50" s="528"/>
      <c r="BX50" s="528"/>
      <c r="BY50" s="528"/>
      <c r="BZ50" s="528"/>
      <c r="CA50" s="528"/>
      <c r="CB50" s="528"/>
      <c r="CC50" s="528"/>
      <c r="CD50" s="528"/>
      <c r="CE50" s="528"/>
      <c r="CF50" s="528"/>
      <c r="CG50" s="528"/>
      <c r="CH50" s="528"/>
      <c r="CI50" s="528"/>
      <c r="CJ50" s="528"/>
      <c r="CK50" s="528"/>
      <c r="CL50" s="528"/>
      <c r="CM50" s="528"/>
      <c r="CN50" s="528"/>
      <c r="CO50" s="528"/>
      <c r="CP50" s="528"/>
      <c r="CQ50" s="528"/>
      <c r="CR50" s="528"/>
      <c r="CS50" s="528"/>
      <c r="CT50" s="528"/>
      <c r="CU50" s="528"/>
      <c r="CV50" s="528"/>
      <c r="CW50" s="528"/>
      <c r="CX50" s="528"/>
      <c r="CY50" s="528"/>
      <c r="CZ50" s="528"/>
      <c r="DA50" s="528"/>
      <c r="DB50" s="528"/>
      <c r="DC50" s="528"/>
      <c r="DD50" s="528"/>
      <c r="DE50" s="528"/>
      <c r="DF50" s="528"/>
    </row>
    <row r="51" spans="1:110" s="534" customFormat="1" ht="27" outlineLevel="1">
      <c r="A51" s="527"/>
      <c r="B51" s="527"/>
      <c r="C51" s="527"/>
      <c r="D51" s="527"/>
      <c r="E51" s="584" t="s">
        <v>418</v>
      </c>
      <c r="F51" s="583">
        <f>IF(F11&gt;0,I73,IF('NEW BORROWER'!C3&lt;18000,36,48))</f>
        <v>36</v>
      </c>
      <c r="G51" s="580" t="s">
        <v>280</v>
      </c>
      <c r="H51" s="578"/>
      <c r="I51" s="578"/>
      <c r="J51" s="528"/>
      <c r="K51" s="528"/>
      <c r="L51" s="529"/>
      <c r="M51" s="530"/>
      <c r="N51" s="530"/>
      <c r="O51" s="528"/>
      <c r="P51" s="528"/>
      <c r="Q51" s="528"/>
      <c r="R51" s="527"/>
      <c r="S51" s="527"/>
      <c r="T51" s="527"/>
      <c r="U51" s="527"/>
      <c r="V51" s="528"/>
      <c r="W51" s="528"/>
      <c r="X51" s="528"/>
      <c r="Y51" s="528"/>
      <c r="Z51" s="528"/>
      <c r="AA51" s="528"/>
      <c r="AB51" s="528"/>
      <c r="AC51" s="528"/>
      <c r="AD51" s="528"/>
      <c r="AE51" s="528"/>
      <c r="AF51" s="528"/>
      <c r="AG51" s="528"/>
      <c r="AH51" s="528"/>
      <c r="AI51" s="528"/>
      <c r="AJ51" s="528"/>
      <c r="AK51" s="528"/>
      <c r="AL51" s="528"/>
      <c r="AM51" s="528"/>
      <c r="AN51" s="528"/>
      <c r="AO51" s="528"/>
      <c r="AP51" s="528"/>
      <c r="AQ51" s="528"/>
      <c r="AR51" s="528"/>
      <c r="AS51" s="528"/>
      <c r="AT51" s="528"/>
      <c r="AU51" s="528"/>
      <c r="AV51" s="528"/>
      <c r="AW51" s="528"/>
      <c r="AX51" s="528"/>
      <c r="AY51" s="528"/>
      <c r="AZ51" s="528"/>
      <c r="BA51" s="528"/>
      <c r="BB51" s="528"/>
      <c r="BC51" s="528"/>
      <c r="BD51" s="528"/>
      <c r="BE51" s="528"/>
      <c r="BF51" s="528"/>
      <c r="BG51" s="528"/>
      <c r="BH51" s="528"/>
      <c r="BI51" s="528"/>
      <c r="BJ51" s="528"/>
      <c r="BK51" s="528"/>
      <c r="BL51" s="528"/>
      <c r="BM51" s="528"/>
      <c r="BN51" s="528"/>
      <c r="BO51" s="528"/>
      <c r="BP51" s="528"/>
      <c r="BQ51" s="528"/>
      <c r="BR51" s="528"/>
      <c r="BS51" s="528"/>
      <c r="BT51" s="528"/>
      <c r="BU51" s="528"/>
      <c r="BV51" s="528"/>
      <c r="BW51" s="528"/>
      <c r="BX51" s="528"/>
      <c r="BY51" s="528"/>
      <c r="BZ51" s="528"/>
      <c r="CA51" s="528"/>
      <c r="CB51" s="528"/>
      <c r="CC51" s="528"/>
      <c r="CD51" s="528"/>
      <c r="CE51" s="528"/>
      <c r="CF51" s="528"/>
      <c r="CG51" s="528"/>
      <c r="CH51" s="528"/>
      <c r="CI51" s="528"/>
      <c r="CJ51" s="528"/>
      <c r="CK51" s="528"/>
      <c r="CL51" s="528"/>
      <c r="CM51" s="528"/>
      <c r="CN51" s="528"/>
      <c r="CO51" s="528"/>
      <c r="CP51" s="528"/>
      <c r="CQ51" s="528"/>
      <c r="CR51" s="528"/>
      <c r="CS51" s="528"/>
      <c r="CT51" s="528"/>
      <c r="CU51" s="528"/>
      <c r="CV51" s="528"/>
      <c r="CW51" s="528"/>
      <c r="CX51" s="528"/>
      <c r="CY51" s="528"/>
      <c r="CZ51" s="528"/>
      <c r="DA51" s="528"/>
      <c r="DB51" s="528"/>
      <c r="DC51" s="528"/>
      <c r="DD51" s="528"/>
      <c r="DE51" s="528"/>
      <c r="DF51" s="528"/>
    </row>
    <row r="52" spans="1:110" s="534" customFormat="1" ht="27" outlineLevel="1">
      <c r="A52" s="527"/>
      <c r="B52" s="527"/>
      <c r="C52" s="527"/>
      <c r="D52" s="527"/>
      <c r="E52" s="535"/>
      <c r="F52" s="527"/>
      <c r="G52" s="527"/>
      <c r="H52" s="527"/>
      <c r="I52" s="551"/>
      <c r="J52" s="528"/>
      <c r="K52" s="528"/>
      <c r="L52" s="529"/>
      <c r="M52" s="530"/>
      <c r="N52" s="530"/>
      <c r="O52" s="528"/>
      <c r="P52" s="528"/>
      <c r="Q52" s="528"/>
      <c r="R52" s="527"/>
      <c r="S52" s="527"/>
      <c r="T52" s="527"/>
      <c r="U52" s="527"/>
      <c r="V52" s="528"/>
      <c r="W52" s="528"/>
      <c r="X52" s="528"/>
      <c r="Y52" s="528"/>
      <c r="Z52" s="528"/>
      <c r="AA52" s="528"/>
      <c r="AB52" s="528"/>
      <c r="AC52" s="528"/>
      <c r="AD52" s="528"/>
      <c r="AE52" s="528"/>
      <c r="AF52" s="528"/>
      <c r="AG52" s="528"/>
      <c r="AH52" s="528"/>
      <c r="AI52" s="528"/>
      <c r="AJ52" s="528"/>
      <c r="AK52" s="528"/>
      <c r="AL52" s="528"/>
      <c r="AM52" s="528"/>
      <c r="AN52" s="528"/>
      <c r="AO52" s="528"/>
      <c r="AP52" s="528"/>
      <c r="AQ52" s="528"/>
      <c r="AR52" s="528"/>
      <c r="AS52" s="528"/>
      <c r="AT52" s="528"/>
      <c r="AU52" s="528"/>
      <c r="AV52" s="528"/>
      <c r="AW52" s="528"/>
      <c r="AX52" s="528"/>
      <c r="AY52" s="528"/>
      <c r="AZ52" s="528"/>
      <c r="BA52" s="528"/>
      <c r="BB52" s="528"/>
      <c r="BC52" s="528"/>
      <c r="BD52" s="528"/>
      <c r="BE52" s="528"/>
      <c r="BF52" s="528"/>
      <c r="BG52" s="528"/>
      <c r="BH52" s="528"/>
      <c r="BI52" s="528"/>
      <c r="BJ52" s="528"/>
      <c r="BK52" s="528"/>
      <c r="BL52" s="528"/>
      <c r="BM52" s="528"/>
      <c r="BN52" s="528"/>
      <c r="BO52" s="528"/>
      <c r="BP52" s="528"/>
      <c r="BQ52" s="528"/>
      <c r="BR52" s="528"/>
      <c r="BS52" s="528"/>
      <c r="BT52" s="528"/>
      <c r="BU52" s="528"/>
      <c r="BV52" s="528"/>
      <c r="BW52" s="528"/>
      <c r="BX52" s="528"/>
      <c r="BY52" s="528"/>
      <c r="BZ52" s="528"/>
      <c r="CA52" s="528"/>
      <c r="CB52" s="528"/>
      <c r="CC52" s="528"/>
      <c r="CD52" s="528"/>
      <c r="CE52" s="528"/>
      <c r="CF52" s="528"/>
      <c r="CG52" s="528"/>
      <c r="CH52" s="528"/>
      <c r="CI52" s="528"/>
      <c r="CJ52" s="528"/>
      <c r="CK52" s="528"/>
      <c r="CL52" s="528"/>
      <c r="CM52" s="528"/>
      <c r="CN52" s="528"/>
      <c r="CO52" s="528"/>
      <c r="CP52" s="528"/>
      <c r="CQ52" s="528"/>
      <c r="CR52" s="528"/>
      <c r="CS52" s="528"/>
      <c r="CT52" s="528"/>
      <c r="CU52" s="528"/>
      <c r="CV52" s="528"/>
      <c r="CW52" s="528"/>
      <c r="CX52" s="528"/>
      <c r="CY52" s="528"/>
      <c r="CZ52" s="528"/>
      <c r="DA52" s="528"/>
      <c r="DB52" s="528"/>
      <c r="DC52" s="528"/>
      <c r="DD52" s="528"/>
      <c r="DE52" s="528"/>
      <c r="DF52" s="528"/>
    </row>
    <row r="53" spans="1:110" s="534" customFormat="1" ht="35" outlineLevel="1">
      <c r="A53" s="527"/>
      <c r="B53" s="527"/>
      <c r="C53" s="527"/>
      <c r="D53" s="527"/>
      <c r="E53" s="614" t="s">
        <v>422</v>
      </c>
      <c r="F53" s="614"/>
      <c r="G53" s="614"/>
      <c r="H53" s="614"/>
      <c r="I53" s="614"/>
      <c r="J53" s="528"/>
      <c r="K53" s="528"/>
      <c r="L53" s="529"/>
      <c r="M53" s="530"/>
      <c r="N53" s="530"/>
      <c r="O53" s="528"/>
      <c r="P53" s="528"/>
      <c r="Q53" s="528"/>
      <c r="R53" s="527"/>
      <c r="S53" s="527"/>
      <c r="T53" s="527"/>
      <c r="U53" s="527"/>
      <c r="V53" s="528"/>
      <c r="W53" s="528"/>
      <c r="X53" s="528"/>
      <c r="Y53" s="528"/>
      <c r="Z53" s="528"/>
      <c r="AA53" s="528"/>
      <c r="AB53" s="528"/>
      <c r="AC53" s="528"/>
      <c r="AD53" s="528"/>
      <c r="AE53" s="528"/>
      <c r="AF53" s="528"/>
      <c r="AG53" s="528"/>
      <c r="AH53" s="528"/>
      <c r="AI53" s="528"/>
      <c r="AJ53" s="528"/>
      <c r="AK53" s="528"/>
      <c r="AL53" s="528"/>
      <c r="AM53" s="528"/>
      <c r="AN53" s="528"/>
      <c r="AO53" s="528"/>
      <c r="AP53" s="528"/>
      <c r="AQ53" s="528"/>
      <c r="AR53" s="528"/>
      <c r="AS53" s="528"/>
      <c r="AT53" s="528"/>
      <c r="AU53" s="528"/>
      <c r="AV53" s="528"/>
      <c r="AW53" s="528"/>
      <c r="AX53" s="528"/>
      <c r="AY53" s="528"/>
      <c r="AZ53" s="528"/>
      <c r="BA53" s="528"/>
      <c r="BB53" s="528"/>
      <c r="BC53" s="528"/>
      <c r="BD53" s="528"/>
      <c r="BE53" s="528"/>
      <c r="BF53" s="528"/>
      <c r="BG53" s="528"/>
      <c r="BH53" s="528"/>
      <c r="BI53" s="528"/>
      <c r="BJ53" s="528"/>
      <c r="BK53" s="528"/>
      <c r="BL53" s="528"/>
      <c r="BM53" s="528"/>
      <c r="BN53" s="528"/>
      <c r="BO53" s="528"/>
      <c r="BP53" s="528"/>
      <c r="BQ53" s="528"/>
      <c r="BR53" s="528"/>
      <c r="BS53" s="528"/>
      <c r="BT53" s="528"/>
      <c r="BU53" s="528"/>
      <c r="BV53" s="528"/>
      <c r="BW53" s="528"/>
      <c r="BX53" s="528"/>
      <c r="BY53" s="528"/>
      <c r="BZ53" s="528"/>
      <c r="CA53" s="528"/>
      <c r="CB53" s="528"/>
      <c r="CC53" s="528"/>
      <c r="CD53" s="528"/>
      <c r="CE53" s="528"/>
      <c r="CF53" s="528"/>
      <c r="CG53" s="528"/>
      <c r="CH53" s="528"/>
      <c r="CI53" s="528"/>
      <c r="CJ53" s="528"/>
      <c r="CK53" s="528"/>
      <c r="CL53" s="528"/>
      <c r="CM53" s="528"/>
      <c r="CN53" s="528"/>
      <c r="CO53" s="528"/>
      <c r="CP53" s="528"/>
      <c r="CQ53" s="528"/>
      <c r="CR53" s="528"/>
      <c r="CS53" s="528"/>
      <c r="CT53" s="528"/>
      <c r="CU53" s="528"/>
      <c r="CV53" s="528"/>
      <c r="CW53" s="528"/>
      <c r="CX53" s="528"/>
      <c r="CY53" s="528"/>
      <c r="CZ53" s="528"/>
      <c r="DA53" s="528"/>
      <c r="DB53" s="528"/>
      <c r="DC53" s="528"/>
      <c r="DD53" s="528"/>
      <c r="DE53" s="528"/>
      <c r="DF53" s="528"/>
    </row>
    <row r="54" spans="1:110" s="534" customFormat="1" ht="27" outlineLevel="1">
      <c r="A54" s="527"/>
      <c r="B54" s="527"/>
      <c r="C54" s="527"/>
      <c r="D54" s="527"/>
      <c r="E54" s="588"/>
      <c r="F54" s="588"/>
      <c r="G54" s="588"/>
      <c r="H54" s="588"/>
      <c r="I54" s="588"/>
      <c r="J54" s="528"/>
      <c r="K54" s="528"/>
      <c r="L54" s="529"/>
      <c r="M54" s="530"/>
      <c r="N54" s="530"/>
      <c r="O54" s="528"/>
      <c r="P54" s="528"/>
      <c r="Q54" s="528"/>
      <c r="R54" s="527"/>
      <c r="S54" s="527"/>
      <c r="T54" s="527"/>
      <c r="U54" s="527"/>
      <c r="V54" s="528"/>
      <c r="W54" s="528"/>
      <c r="X54" s="528"/>
      <c r="Y54" s="528"/>
      <c r="Z54" s="528"/>
      <c r="AA54" s="528"/>
      <c r="AB54" s="528"/>
      <c r="AC54" s="528"/>
      <c r="AD54" s="528"/>
      <c r="AE54" s="528"/>
      <c r="AF54" s="528"/>
      <c r="AG54" s="528"/>
      <c r="AH54" s="528"/>
      <c r="AI54" s="528"/>
      <c r="AJ54" s="528"/>
      <c r="AK54" s="528"/>
      <c r="AL54" s="528"/>
      <c r="AM54" s="528"/>
      <c r="AN54" s="528"/>
      <c r="AO54" s="528"/>
      <c r="AP54" s="528"/>
      <c r="AQ54" s="528"/>
      <c r="AR54" s="528"/>
      <c r="AS54" s="528"/>
      <c r="AT54" s="528"/>
      <c r="AU54" s="528"/>
      <c r="AV54" s="528"/>
      <c r="AW54" s="528"/>
      <c r="AX54" s="528"/>
      <c r="AY54" s="528"/>
      <c r="AZ54" s="528"/>
      <c r="BA54" s="528"/>
      <c r="BB54" s="528"/>
      <c r="BC54" s="528"/>
      <c r="BD54" s="528"/>
      <c r="BE54" s="528"/>
      <c r="BF54" s="528"/>
      <c r="BG54" s="528"/>
      <c r="BH54" s="528"/>
      <c r="BI54" s="528"/>
      <c r="BJ54" s="528"/>
      <c r="BK54" s="528"/>
      <c r="BL54" s="528"/>
      <c r="BM54" s="528"/>
      <c r="BN54" s="528"/>
      <c r="BO54" s="528"/>
      <c r="BP54" s="528"/>
      <c r="BQ54" s="528"/>
      <c r="BR54" s="528"/>
      <c r="BS54" s="528"/>
      <c r="BT54" s="528"/>
      <c r="BU54" s="528"/>
      <c r="BV54" s="528"/>
      <c r="BW54" s="528"/>
      <c r="BX54" s="528"/>
      <c r="BY54" s="528"/>
      <c r="BZ54" s="528"/>
      <c r="CA54" s="528"/>
      <c r="CB54" s="528"/>
      <c r="CC54" s="528"/>
      <c r="CD54" s="528"/>
      <c r="CE54" s="528"/>
      <c r="CF54" s="528"/>
      <c r="CG54" s="528"/>
      <c r="CH54" s="528"/>
      <c r="CI54" s="528"/>
      <c r="CJ54" s="528"/>
      <c r="CK54" s="528"/>
      <c r="CL54" s="528"/>
      <c r="CM54" s="528"/>
      <c r="CN54" s="528"/>
      <c r="CO54" s="528"/>
      <c r="CP54" s="528"/>
      <c r="CQ54" s="528"/>
      <c r="CR54" s="528"/>
      <c r="CS54" s="528"/>
      <c r="CT54" s="528"/>
      <c r="CU54" s="528"/>
      <c r="CV54" s="528"/>
      <c r="CW54" s="528"/>
      <c r="CX54" s="528"/>
      <c r="CY54" s="528"/>
      <c r="CZ54" s="528"/>
      <c r="DA54" s="528"/>
      <c r="DB54" s="528"/>
      <c r="DC54" s="528"/>
      <c r="DD54" s="528"/>
      <c r="DE54" s="528"/>
      <c r="DF54" s="528"/>
    </row>
    <row r="55" spans="1:110" s="534" customFormat="1" ht="27" outlineLevel="1">
      <c r="A55" s="527"/>
      <c r="B55" s="527"/>
      <c r="C55" s="527"/>
      <c r="D55" s="527"/>
      <c r="E55" s="589" t="s">
        <v>390</v>
      </c>
      <c r="F55" s="590">
        <f>'NEW BORROWER'!C5+F15+I15</f>
        <v>8000</v>
      </c>
      <c r="G55" s="591"/>
      <c r="H55" s="591"/>
      <c r="I55" s="591"/>
      <c r="J55" s="528"/>
      <c r="K55" s="528"/>
      <c r="L55" s="529"/>
      <c r="M55" s="530"/>
      <c r="N55" s="530"/>
      <c r="O55" s="528"/>
      <c r="P55" s="528"/>
      <c r="Q55" s="528"/>
      <c r="R55" s="527"/>
      <c r="S55" s="527"/>
      <c r="T55" s="527"/>
      <c r="U55" s="527"/>
      <c r="V55" s="528"/>
      <c r="W55" s="528"/>
      <c r="X55" s="528"/>
      <c r="Y55" s="528"/>
      <c r="Z55" s="528"/>
      <c r="AA55" s="528"/>
      <c r="AB55" s="528"/>
      <c r="AC55" s="528"/>
      <c r="AD55" s="528"/>
      <c r="AE55" s="528"/>
      <c r="AF55" s="528"/>
      <c r="AG55" s="528"/>
      <c r="AH55" s="528"/>
      <c r="AI55" s="528"/>
      <c r="AJ55" s="528"/>
      <c r="AK55" s="528"/>
      <c r="AL55" s="528"/>
      <c r="AM55" s="528"/>
      <c r="AN55" s="528"/>
      <c r="AO55" s="528"/>
      <c r="AP55" s="528"/>
      <c r="AQ55" s="528"/>
      <c r="AR55" s="528"/>
      <c r="AS55" s="528"/>
      <c r="AT55" s="528"/>
      <c r="AU55" s="528"/>
      <c r="AV55" s="528"/>
      <c r="AW55" s="528"/>
      <c r="AX55" s="528"/>
      <c r="AY55" s="528"/>
      <c r="AZ55" s="528"/>
      <c r="BA55" s="528"/>
      <c r="BB55" s="528"/>
      <c r="BC55" s="528"/>
      <c r="BD55" s="528"/>
      <c r="BE55" s="528"/>
      <c r="BF55" s="528"/>
      <c r="BG55" s="528"/>
      <c r="BH55" s="528"/>
      <c r="BI55" s="528"/>
      <c r="BJ55" s="528"/>
      <c r="BK55" s="528"/>
      <c r="BL55" s="528"/>
      <c r="BM55" s="528"/>
      <c r="BN55" s="528"/>
      <c r="BO55" s="528"/>
      <c r="BP55" s="528"/>
      <c r="BQ55" s="528"/>
      <c r="BR55" s="528"/>
      <c r="BS55" s="528"/>
      <c r="BT55" s="528"/>
      <c r="BU55" s="528"/>
      <c r="BV55" s="528"/>
      <c r="BW55" s="528"/>
      <c r="BX55" s="528"/>
      <c r="BY55" s="528"/>
      <c r="BZ55" s="528"/>
      <c r="CA55" s="528"/>
      <c r="CB55" s="528"/>
      <c r="CC55" s="528"/>
      <c r="CD55" s="528"/>
      <c r="CE55" s="528"/>
      <c r="CF55" s="528"/>
      <c r="CG55" s="528"/>
      <c r="CH55" s="528"/>
      <c r="CI55" s="528"/>
      <c r="CJ55" s="528"/>
      <c r="CK55" s="528"/>
      <c r="CL55" s="528"/>
      <c r="CM55" s="528"/>
      <c r="CN55" s="528"/>
      <c r="CO55" s="528"/>
      <c r="CP55" s="528"/>
      <c r="CQ55" s="528"/>
      <c r="CR55" s="528"/>
      <c r="CS55" s="528"/>
      <c r="CT55" s="528"/>
      <c r="CU55" s="528"/>
      <c r="CV55" s="528"/>
      <c r="CW55" s="528"/>
      <c r="CX55" s="528"/>
      <c r="CY55" s="528"/>
      <c r="CZ55" s="528"/>
      <c r="DA55" s="528"/>
      <c r="DB55" s="528"/>
      <c r="DC55" s="528"/>
      <c r="DD55" s="528"/>
      <c r="DE55" s="528"/>
      <c r="DF55" s="528"/>
    </row>
    <row r="56" spans="1:110" s="534" customFormat="1" ht="27" outlineLevel="1">
      <c r="A56" s="527"/>
      <c r="B56" s="527"/>
      <c r="C56" s="527"/>
      <c r="D56" s="527"/>
      <c r="E56" s="589" t="s">
        <v>417</v>
      </c>
      <c r="F56" s="590">
        <f>M9</f>
        <v>5000</v>
      </c>
      <c r="G56" s="591"/>
      <c r="H56" s="591"/>
      <c r="I56" s="591"/>
      <c r="J56" s="528"/>
      <c r="K56" s="528"/>
      <c r="L56" s="529"/>
      <c r="M56" s="530"/>
      <c r="N56" s="530"/>
      <c r="O56" s="528"/>
      <c r="P56" s="528"/>
      <c r="Q56" s="528"/>
      <c r="R56" s="527"/>
      <c r="S56" s="527"/>
      <c r="T56" s="527"/>
      <c r="U56" s="527"/>
      <c r="V56" s="528"/>
      <c r="W56" s="528"/>
      <c r="X56" s="528"/>
      <c r="Y56" s="528"/>
      <c r="Z56" s="528"/>
      <c r="AA56" s="528"/>
      <c r="AB56" s="528"/>
      <c r="AC56" s="528"/>
      <c r="AD56" s="528"/>
      <c r="AE56" s="528"/>
      <c r="AF56" s="528"/>
      <c r="AG56" s="528"/>
      <c r="AH56" s="528"/>
      <c r="AI56" s="528"/>
      <c r="AJ56" s="528"/>
      <c r="AK56" s="528"/>
      <c r="AL56" s="528"/>
      <c r="AM56" s="528"/>
      <c r="AN56" s="528"/>
      <c r="AO56" s="528"/>
      <c r="AP56" s="528"/>
      <c r="AQ56" s="528"/>
      <c r="AR56" s="528"/>
      <c r="AS56" s="528"/>
      <c r="AT56" s="528"/>
      <c r="AU56" s="528"/>
      <c r="AV56" s="528"/>
      <c r="AW56" s="528"/>
      <c r="AX56" s="528"/>
      <c r="AY56" s="528"/>
      <c r="AZ56" s="528"/>
      <c r="BA56" s="528"/>
      <c r="BB56" s="528"/>
      <c r="BC56" s="528"/>
      <c r="BD56" s="528"/>
      <c r="BE56" s="528"/>
      <c r="BF56" s="528"/>
      <c r="BG56" s="528"/>
      <c r="BH56" s="528"/>
      <c r="BI56" s="528"/>
      <c r="BJ56" s="528"/>
      <c r="BK56" s="528"/>
      <c r="BL56" s="528"/>
      <c r="BM56" s="528"/>
      <c r="BN56" s="528"/>
      <c r="BO56" s="528"/>
      <c r="BP56" s="528"/>
      <c r="BQ56" s="528"/>
      <c r="BR56" s="528"/>
      <c r="BS56" s="528"/>
      <c r="BT56" s="528"/>
      <c r="BU56" s="528"/>
      <c r="BV56" s="528"/>
      <c r="BW56" s="528"/>
      <c r="BX56" s="528"/>
      <c r="BY56" s="528"/>
      <c r="BZ56" s="528"/>
      <c r="CA56" s="528"/>
      <c r="CB56" s="528"/>
      <c r="CC56" s="528"/>
      <c r="CD56" s="528"/>
      <c r="CE56" s="528"/>
      <c r="CF56" s="528"/>
      <c r="CG56" s="528"/>
      <c r="CH56" s="528"/>
      <c r="CI56" s="528"/>
      <c r="CJ56" s="528"/>
      <c r="CK56" s="528"/>
      <c r="CL56" s="528"/>
      <c r="CM56" s="528"/>
      <c r="CN56" s="528"/>
      <c r="CO56" s="528"/>
      <c r="CP56" s="528"/>
      <c r="CQ56" s="528"/>
      <c r="CR56" s="528"/>
      <c r="CS56" s="528"/>
      <c r="CT56" s="528"/>
      <c r="CU56" s="528"/>
      <c r="CV56" s="528"/>
      <c r="CW56" s="528"/>
      <c r="CX56" s="528"/>
      <c r="CY56" s="528"/>
      <c r="CZ56" s="528"/>
      <c r="DA56" s="528"/>
      <c r="DB56" s="528"/>
      <c r="DC56" s="528"/>
      <c r="DD56" s="528"/>
      <c r="DE56" s="528"/>
      <c r="DF56" s="528"/>
    </row>
    <row r="57" spans="1:110" s="534" customFormat="1" ht="27" outlineLevel="1">
      <c r="A57" s="527"/>
      <c r="B57" s="527"/>
      <c r="C57" s="527"/>
      <c r="D57" s="527"/>
      <c r="E57" s="589" t="s">
        <v>393</v>
      </c>
      <c r="F57" s="585">
        <f>F55-F56</f>
        <v>3000</v>
      </c>
      <c r="G57" s="591"/>
      <c r="H57" s="591"/>
      <c r="I57" s="591"/>
      <c r="J57" s="528"/>
      <c r="K57" s="528"/>
      <c r="L57" s="529"/>
      <c r="M57" s="530"/>
      <c r="N57" s="530"/>
      <c r="O57" s="528"/>
      <c r="P57" s="528"/>
      <c r="Q57" s="528"/>
      <c r="R57" s="527"/>
      <c r="S57" s="527"/>
      <c r="T57" s="527"/>
      <c r="U57" s="527"/>
      <c r="V57" s="528"/>
      <c r="W57" s="528"/>
      <c r="X57" s="528"/>
      <c r="Y57" s="528"/>
      <c r="Z57" s="528"/>
      <c r="AA57" s="528"/>
      <c r="AB57" s="528"/>
      <c r="AC57" s="528"/>
      <c r="AD57" s="528"/>
      <c r="AE57" s="528"/>
      <c r="AF57" s="528"/>
      <c r="AG57" s="528"/>
      <c r="AH57" s="528"/>
      <c r="AI57" s="528"/>
      <c r="AJ57" s="528"/>
      <c r="AK57" s="528"/>
      <c r="AL57" s="528"/>
      <c r="AM57" s="528"/>
      <c r="AN57" s="528"/>
      <c r="AO57" s="528"/>
      <c r="AP57" s="528"/>
      <c r="AQ57" s="528"/>
      <c r="AR57" s="528"/>
      <c r="AS57" s="528"/>
      <c r="AT57" s="528"/>
      <c r="AU57" s="528"/>
      <c r="AV57" s="528"/>
      <c r="AW57" s="528"/>
      <c r="AX57" s="528"/>
      <c r="AY57" s="528"/>
      <c r="AZ57" s="528"/>
      <c r="BA57" s="528"/>
      <c r="BB57" s="528"/>
      <c r="BC57" s="528"/>
      <c r="BD57" s="528"/>
      <c r="BE57" s="528"/>
      <c r="BF57" s="528"/>
      <c r="BG57" s="528"/>
      <c r="BH57" s="528"/>
      <c r="BI57" s="528"/>
      <c r="BJ57" s="528"/>
      <c r="BK57" s="528"/>
      <c r="BL57" s="528"/>
      <c r="BM57" s="528"/>
      <c r="BN57" s="528"/>
      <c r="BO57" s="528"/>
      <c r="BP57" s="528"/>
      <c r="BQ57" s="528"/>
      <c r="BR57" s="528"/>
      <c r="BS57" s="528"/>
      <c r="BT57" s="528"/>
      <c r="BU57" s="528"/>
      <c r="BV57" s="528"/>
      <c r="BW57" s="528"/>
      <c r="BX57" s="528"/>
      <c r="BY57" s="528"/>
      <c r="BZ57" s="528"/>
      <c r="CA57" s="528"/>
      <c r="CB57" s="528"/>
      <c r="CC57" s="528"/>
      <c r="CD57" s="528"/>
      <c r="CE57" s="528"/>
      <c r="CF57" s="528"/>
      <c r="CG57" s="528"/>
      <c r="CH57" s="528"/>
      <c r="CI57" s="528"/>
      <c r="CJ57" s="528"/>
      <c r="CK57" s="528"/>
      <c r="CL57" s="528"/>
      <c r="CM57" s="528"/>
      <c r="CN57" s="528"/>
      <c r="CO57" s="528"/>
      <c r="CP57" s="528"/>
      <c r="CQ57" s="528"/>
      <c r="CR57" s="528"/>
      <c r="CS57" s="528"/>
      <c r="CT57" s="528"/>
      <c r="CU57" s="528"/>
      <c r="CV57" s="528"/>
      <c r="CW57" s="528"/>
      <c r="CX57" s="528"/>
      <c r="CY57" s="528"/>
      <c r="CZ57" s="528"/>
      <c r="DA57" s="528"/>
      <c r="DB57" s="528"/>
      <c r="DC57" s="528"/>
      <c r="DD57" s="528"/>
      <c r="DE57" s="528"/>
      <c r="DF57" s="528"/>
    </row>
    <row r="58" spans="1:110" s="534" customFormat="1" ht="27" outlineLevel="1">
      <c r="A58" s="527"/>
      <c r="B58" s="527"/>
      <c r="C58" s="527"/>
      <c r="D58" s="527"/>
      <c r="E58" s="589" t="s">
        <v>416</v>
      </c>
      <c r="F58" s="586">
        <f>IF(F11&gt;0,IF('NEW BORROWER'!C3&lt;10000,40%,IF('NEW BORROWER'!C3&lt;13000,50%,IF('NEW BORROWER'!C3&lt;38000,60%,70%))),IF('NEW BORROWER'!C3&lt;10000,30%,IF('NEW BORROWER'!C3&lt;13000,40%,IF('NEW BORROWER'!C3&lt;38000,50%,60%))))</f>
        <v>0.5</v>
      </c>
      <c r="G58" s="591"/>
      <c r="H58" s="591"/>
      <c r="I58" s="591"/>
      <c r="J58" s="528"/>
      <c r="K58" s="528"/>
      <c r="L58" s="529"/>
      <c r="M58" s="530"/>
      <c r="N58" s="530"/>
      <c r="O58" s="528"/>
      <c r="P58" s="528"/>
      <c r="Q58" s="528"/>
      <c r="R58" s="527"/>
      <c r="S58" s="527"/>
      <c r="T58" s="527"/>
      <c r="U58" s="527"/>
      <c r="V58" s="528"/>
      <c r="W58" s="528"/>
      <c r="X58" s="528"/>
      <c r="Y58" s="528"/>
      <c r="Z58" s="528"/>
      <c r="AA58" s="528"/>
      <c r="AB58" s="528"/>
      <c r="AC58" s="528"/>
      <c r="AD58" s="528"/>
      <c r="AE58" s="528"/>
      <c r="AF58" s="528"/>
      <c r="AG58" s="528"/>
      <c r="AH58" s="528"/>
      <c r="AI58" s="528"/>
      <c r="AJ58" s="528"/>
      <c r="AK58" s="528"/>
      <c r="AL58" s="528"/>
      <c r="AM58" s="528"/>
      <c r="AN58" s="528"/>
      <c r="AO58" s="528"/>
      <c r="AP58" s="528"/>
      <c r="AQ58" s="528"/>
      <c r="AR58" s="528"/>
      <c r="AS58" s="528"/>
      <c r="AT58" s="528"/>
      <c r="AU58" s="528"/>
      <c r="AV58" s="528"/>
      <c r="AW58" s="528"/>
      <c r="AX58" s="528"/>
      <c r="AY58" s="528"/>
      <c r="AZ58" s="528"/>
      <c r="BA58" s="528"/>
      <c r="BB58" s="528"/>
      <c r="BC58" s="528"/>
      <c r="BD58" s="528"/>
      <c r="BE58" s="528"/>
      <c r="BF58" s="528"/>
      <c r="BG58" s="528"/>
      <c r="BH58" s="528"/>
      <c r="BI58" s="528"/>
      <c r="BJ58" s="528"/>
      <c r="BK58" s="528"/>
      <c r="BL58" s="528"/>
      <c r="BM58" s="528"/>
      <c r="BN58" s="528"/>
      <c r="BO58" s="528"/>
      <c r="BP58" s="528"/>
      <c r="BQ58" s="528"/>
      <c r="BR58" s="528"/>
      <c r="BS58" s="528"/>
      <c r="BT58" s="528"/>
      <c r="BU58" s="528"/>
      <c r="BV58" s="528"/>
      <c r="BW58" s="528"/>
      <c r="BX58" s="528"/>
      <c r="BY58" s="528"/>
      <c r="BZ58" s="528"/>
      <c r="CA58" s="528"/>
      <c r="CB58" s="528"/>
      <c r="CC58" s="528"/>
      <c r="CD58" s="528"/>
      <c r="CE58" s="528"/>
      <c r="CF58" s="528"/>
      <c r="CG58" s="528"/>
      <c r="CH58" s="528"/>
      <c r="CI58" s="528"/>
      <c r="CJ58" s="528"/>
      <c r="CK58" s="528"/>
      <c r="CL58" s="528"/>
      <c r="CM58" s="528"/>
      <c r="CN58" s="528"/>
      <c r="CO58" s="528"/>
      <c r="CP58" s="528"/>
      <c r="CQ58" s="528"/>
      <c r="CR58" s="528"/>
      <c r="CS58" s="528"/>
      <c r="CT58" s="528"/>
      <c r="CU58" s="528"/>
      <c r="CV58" s="528"/>
      <c r="CW58" s="528"/>
      <c r="CX58" s="528"/>
      <c r="CY58" s="528"/>
      <c r="CZ58" s="528"/>
      <c r="DA58" s="528"/>
      <c r="DB58" s="528"/>
      <c r="DC58" s="528"/>
      <c r="DD58" s="528"/>
      <c r="DE58" s="528"/>
      <c r="DF58" s="528"/>
    </row>
    <row r="59" spans="1:110" s="534" customFormat="1" ht="27" outlineLevel="1">
      <c r="A59" s="527"/>
      <c r="B59" s="527"/>
      <c r="C59" s="527"/>
      <c r="D59" s="527"/>
      <c r="E59" s="589" t="s">
        <v>355</v>
      </c>
      <c r="F59" s="590">
        <f>F58*'NEW BORROWER'!C3</f>
        <v>7500</v>
      </c>
      <c r="G59" s="591"/>
      <c r="H59" s="591"/>
      <c r="I59" s="591"/>
      <c r="J59" s="528"/>
      <c r="K59" s="528"/>
      <c r="L59" s="529"/>
      <c r="M59" s="530"/>
      <c r="N59" s="530"/>
      <c r="O59" s="528"/>
      <c r="P59" s="528"/>
      <c r="Q59" s="528"/>
      <c r="R59" s="527"/>
      <c r="S59" s="527"/>
      <c r="T59" s="527"/>
      <c r="U59" s="527"/>
      <c r="V59" s="528"/>
      <c r="W59" s="528"/>
      <c r="X59" s="528"/>
      <c r="Y59" s="528"/>
      <c r="Z59" s="528"/>
      <c r="AA59" s="528"/>
      <c r="AB59" s="528"/>
      <c r="AC59" s="528"/>
      <c r="AD59" s="528"/>
      <c r="AE59" s="528"/>
      <c r="AF59" s="528"/>
      <c r="AG59" s="528"/>
      <c r="AH59" s="528"/>
      <c r="AI59" s="528"/>
      <c r="AJ59" s="528"/>
      <c r="AK59" s="528"/>
      <c r="AL59" s="528"/>
      <c r="AM59" s="528"/>
      <c r="AN59" s="528"/>
      <c r="AO59" s="528"/>
      <c r="AP59" s="528"/>
      <c r="AQ59" s="528"/>
      <c r="AR59" s="528"/>
      <c r="AS59" s="528"/>
      <c r="AT59" s="528"/>
      <c r="AU59" s="528"/>
      <c r="AV59" s="528"/>
      <c r="AW59" s="528"/>
      <c r="AX59" s="528"/>
      <c r="AY59" s="528"/>
      <c r="AZ59" s="528"/>
      <c r="BA59" s="528"/>
      <c r="BB59" s="528"/>
      <c r="BC59" s="528"/>
      <c r="BD59" s="528"/>
      <c r="BE59" s="528"/>
      <c r="BF59" s="528"/>
      <c r="BG59" s="528"/>
      <c r="BH59" s="528"/>
      <c r="BI59" s="528"/>
      <c r="BJ59" s="528"/>
      <c r="BK59" s="528"/>
      <c r="BL59" s="528"/>
      <c r="BM59" s="528"/>
      <c r="BN59" s="528"/>
      <c r="BO59" s="528"/>
      <c r="BP59" s="528"/>
      <c r="BQ59" s="528"/>
      <c r="BR59" s="528"/>
      <c r="BS59" s="528"/>
      <c r="BT59" s="528"/>
      <c r="BU59" s="528"/>
      <c r="BV59" s="528"/>
      <c r="BW59" s="528"/>
      <c r="BX59" s="528"/>
      <c r="BY59" s="528"/>
      <c r="BZ59" s="528"/>
      <c r="CA59" s="528"/>
      <c r="CB59" s="528"/>
      <c r="CC59" s="528"/>
      <c r="CD59" s="528"/>
      <c r="CE59" s="528"/>
      <c r="CF59" s="528"/>
      <c r="CG59" s="528"/>
      <c r="CH59" s="528"/>
      <c r="CI59" s="528"/>
      <c r="CJ59" s="528"/>
      <c r="CK59" s="528"/>
      <c r="CL59" s="528"/>
      <c r="CM59" s="528"/>
      <c r="CN59" s="528"/>
      <c r="CO59" s="528"/>
      <c r="CP59" s="528"/>
      <c r="CQ59" s="528"/>
      <c r="CR59" s="528"/>
      <c r="CS59" s="528"/>
      <c r="CT59" s="528"/>
      <c r="CU59" s="528"/>
      <c r="CV59" s="528"/>
      <c r="CW59" s="528"/>
      <c r="CX59" s="528"/>
      <c r="CY59" s="528"/>
      <c r="CZ59" s="528"/>
      <c r="DA59" s="528"/>
      <c r="DB59" s="528"/>
      <c r="DC59" s="528"/>
      <c r="DD59" s="528"/>
      <c r="DE59" s="528"/>
      <c r="DF59" s="528"/>
    </row>
    <row r="60" spans="1:110" s="534" customFormat="1" ht="27" outlineLevel="1">
      <c r="A60" s="527"/>
      <c r="B60" s="527"/>
      <c r="C60" s="527"/>
      <c r="D60" s="527"/>
      <c r="E60" s="589" t="s">
        <v>356</v>
      </c>
      <c r="F60" s="585">
        <f>IF(F57&lt;F59,F57,F59)</f>
        <v>3000</v>
      </c>
      <c r="G60" s="591"/>
      <c r="H60" s="591"/>
      <c r="I60" s="591"/>
      <c r="J60" s="528"/>
      <c r="K60" s="528"/>
      <c r="L60" s="529"/>
      <c r="M60" s="530"/>
      <c r="N60" s="530"/>
      <c r="O60" s="528"/>
      <c r="P60" s="528"/>
      <c r="Q60" s="528"/>
      <c r="R60" s="527"/>
      <c r="S60" s="527"/>
      <c r="T60" s="527"/>
      <c r="U60" s="527"/>
      <c r="V60" s="528"/>
      <c r="W60" s="528"/>
      <c r="X60" s="528"/>
      <c r="Y60" s="528"/>
      <c r="Z60" s="528"/>
      <c r="AA60" s="528"/>
      <c r="AB60" s="528"/>
      <c r="AC60" s="528"/>
      <c r="AD60" s="528"/>
      <c r="AE60" s="528"/>
      <c r="AF60" s="528"/>
      <c r="AG60" s="528"/>
      <c r="AH60" s="528"/>
      <c r="AI60" s="528"/>
      <c r="AJ60" s="528"/>
      <c r="AK60" s="528"/>
      <c r="AL60" s="528"/>
      <c r="AM60" s="528"/>
      <c r="AN60" s="528"/>
      <c r="AO60" s="528"/>
      <c r="AP60" s="528"/>
      <c r="AQ60" s="528"/>
      <c r="AR60" s="528"/>
      <c r="AS60" s="528"/>
      <c r="AT60" s="528"/>
      <c r="AU60" s="528"/>
      <c r="AV60" s="528"/>
      <c r="AW60" s="528"/>
      <c r="AX60" s="528"/>
      <c r="AY60" s="528"/>
      <c r="AZ60" s="528"/>
      <c r="BA60" s="528"/>
      <c r="BB60" s="528"/>
      <c r="BC60" s="528"/>
      <c r="BD60" s="528"/>
      <c r="BE60" s="528"/>
      <c r="BF60" s="528"/>
      <c r="BG60" s="528"/>
      <c r="BH60" s="528"/>
      <c r="BI60" s="528"/>
      <c r="BJ60" s="528"/>
      <c r="BK60" s="528"/>
      <c r="BL60" s="528"/>
      <c r="BM60" s="528"/>
      <c r="BN60" s="528"/>
      <c r="BO60" s="528"/>
      <c r="BP60" s="528"/>
      <c r="BQ60" s="528"/>
      <c r="BR60" s="528"/>
      <c r="BS60" s="528"/>
      <c r="BT60" s="528"/>
      <c r="BU60" s="528"/>
      <c r="BV60" s="528"/>
      <c r="BW60" s="528"/>
      <c r="BX60" s="528"/>
      <c r="BY60" s="528"/>
      <c r="BZ60" s="528"/>
      <c r="CA60" s="528"/>
      <c r="CB60" s="528"/>
      <c r="CC60" s="528"/>
      <c r="CD60" s="528"/>
      <c r="CE60" s="528"/>
      <c r="CF60" s="528"/>
      <c r="CG60" s="528"/>
      <c r="CH60" s="528"/>
      <c r="CI60" s="528"/>
      <c r="CJ60" s="528"/>
      <c r="CK60" s="528"/>
      <c r="CL60" s="528"/>
      <c r="CM60" s="528"/>
      <c r="CN60" s="528"/>
      <c r="CO60" s="528"/>
      <c r="CP60" s="528"/>
      <c r="CQ60" s="528"/>
      <c r="CR60" s="528"/>
      <c r="CS60" s="528"/>
      <c r="CT60" s="528"/>
      <c r="CU60" s="528"/>
      <c r="CV60" s="528"/>
      <c r="CW60" s="528"/>
      <c r="CX60" s="528"/>
      <c r="CY60" s="528"/>
      <c r="CZ60" s="528"/>
      <c r="DA60" s="528"/>
      <c r="DB60" s="528"/>
      <c r="DC60" s="528"/>
      <c r="DD60" s="528"/>
      <c r="DE60" s="528"/>
      <c r="DF60" s="528"/>
    </row>
    <row r="61" spans="1:110" s="534" customFormat="1" ht="27" outlineLevel="1">
      <c r="A61" s="527"/>
      <c r="B61" s="527"/>
      <c r="C61" s="527"/>
      <c r="D61" s="527"/>
      <c r="E61" s="589" t="s">
        <v>418</v>
      </c>
      <c r="F61" s="587">
        <f>IF(F11&gt;0,I73,IF('NEW BORROWER'!C3&lt;18000,36,48))</f>
        <v>36</v>
      </c>
      <c r="G61" s="592" t="s">
        <v>280</v>
      </c>
      <c r="H61" s="591"/>
      <c r="I61" s="591"/>
      <c r="J61" s="528"/>
      <c r="K61" s="528"/>
      <c r="L61" s="529"/>
      <c r="M61" s="530"/>
      <c r="N61" s="530"/>
      <c r="O61" s="528"/>
      <c r="P61" s="528"/>
      <c r="Q61" s="528"/>
      <c r="R61" s="527"/>
      <c r="S61" s="527"/>
      <c r="T61" s="527"/>
      <c r="U61" s="527"/>
      <c r="V61" s="528"/>
      <c r="W61" s="528"/>
      <c r="X61" s="528"/>
      <c r="Y61" s="528"/>
      <c r="Z61" s="528"/>
      <c r="AA61" s="528"/>
      <c r="AB61" s="528"/>
      <c r="AC61" s="528"/>
      <c r="AD61" s="528"/>
      <c r="AE61" s="528"/>
      <c r="AF61" s="528"/>
      <c r="AG61" s="528"/>
      <c r="AH61" s="528"/>
      <c r="AI61" s="528"/>
      <c r="AJ61" s="528"/>
      <c r="AK61" s="528"/>
      <c r="AL61" s="528"/>
      <c r="AM61" s="528"/>
      <c r="AN61" s="528"/>
      <c r="AO61" s="528"/>
      <c r="AP61" s="528"/>
      <c r="AQ61" s="528"/>
      <c r="AR61" s="528"/>
      <c r="AS61" s="528"/>
      <c r="AT61" s="528"/>
      <c r="AU61" s="528"/>
      <c r="AV61" s="528"/>
      <c r="AW61" s="528"/>
      <c r="AX61" s="528"/>
      <c r="AY61" s="528"/>
      <c r="AZ61" s="528"/>
      <c r="BA61" s="528"/>
      <c r="BB61" s="528"/>
      <c r="BC61" s="528"/>
      <c r="BD61" s="528"/>
      <c r="BE61" s="528"/>
      <c r="BF61" s="528"/>
      <c r="BG61" s="528"/>
      <c r="BH61" s="528"/>
      <c r="BI61" s="528"/>
      <c r="BJ61" s="528"/>
      <c r="BK61" s="528"/>
      <c r="BL61" s="528"/>
      <c r="BM61" s="528"/>
      <c r="BN61" s="528"/>
      <c r="BO61" s="528"/>
      <c r="BP61" s="528"/>
      <c r="BQ61" s="528"/>
      <c r="BR61" s="528"/>
      <c r="BS61" s="528"/>
      <c r="BT61" s="528"/>
      <c r="BU61" s="528"/>
      <c r="BV61" s="528"/>
      <c r="BW61" s="528"/>
      <c r="BX61" s="528"/>
      <c r="BY61" s="528"/>
      <c r="BZ61" s="528"/>
      <c r="CA61" s="528"/>
      <c r="CB61" s="528"/>
      <c r="CC61" s="528"/>
      <c r="CD61" s="528"/>
      <c r="CE61" s="528"/>
      <c r="CF61" s="528"/>
      <c r="CG61" s="528"/>
      <c r="CH61" s="528"/>
      <c r="CI61" s="528"/>
      <c r="CJ61" s="528"/>
      <c r="CK61" s="528"/>
      <c r="CL61" s="528"/>
      <c r="CM61" s="528"/>
      <c r="CN61" s="528"/>
      <c r="CO61" s="528"/>
      <c r="CP61" s="528"/>
      <c r="CQ61" s="528"/>
      <c r="CR61" s="528"/>
      <c r="CS61" s="528"/>
      <c r="CT61" s="528"/>
      <c r="CU61" s="528"/>
      <c r="CV61" s="528"/>
      <c r="CW61" s="528"/>
      <c r="CX61" s="528"/>
      <c r="CY61" s="528"/>
      <c r="CZ61" s="528"/>
      <c r="DA61" s="528"/>
      <c r="DB61" s="528"/>
      <c r="DC61" s="528"/>
      <c r="DD61" s="528"/>
      <c r="DE61" s="528"/>
      <c r="DF61" s="528"/>
    </row>
    <row r="62" spans="1:110" s="534" customFormat="1" ht="27.5" outlineLevel="1" thickBot="1">
      <c r="A62" s="527"/>
      <c r="B62" s="527"/>
      <c r="C62" s="527"/>
      <c r="D62" s="527"/>
      <c r="E62" s="535"/>
      <c r="F62" s="527"/>
      <c r="G62" s="527"/>
      <c r="H62" s="527"/>
      <c r="I62" s="551"/>
      <c r="J62" s="528"/>
      <c r="K62" s="528"/>
      <c r="L62" s="529"/>
      <c r="M62" s="530"/>
      <c r="N62" s="530"/>
      <c r="O62" s="528"/>
      <c r="P62" s="528"/>
      <c r="Q62" s="528"/>
      <c r="R62" s="527"/>
      <c r="S62" s="527"/>
      <c r="T62" s="527"/>
      <c r="U62" s="527"/>
      <c r="V62" s="528"/>
      <c r="W62" s="528"/>
      <c r="X62" s="528"/>
      <c r="Y62" s="528"/>
      <c r="Z62" s="528"/>
      <c r="AA62" s="528"/>
      <c r="AB62" s="528"/>
      <c r="AC62" s="528"/>
      <c r="AD62" s="528"/>
      <c r="AE62" s="528"/>
      <c r="AF62" s="528"/>
      <c r="AG62" s="528"/>
      <c r="AH62" s="528"/>
      <c r="AI62" s="528"/>
      <c r="AJ62" s="528"/>
      <c r="AK62" s="528"/>
      <c r="AL62" s="528"/>
      <c r="AM62" s="528"/>
      <c r="AN62" s="528"/>
      <c r="AO62" s="528"/>
      <c r="AP62" s="528"/>
      <c r="AQ62" s="528"/>
      <c r="AR62" s="528"/>
      <c r="AS62" s="528"/>
      <c r="AT62" s="528"/>
      <c r="AU62" s="528"/>
      <c r="AV62" s="528"/>
      <c r="AW62" s="528"/>
      <c r="AX62" s="528"/>
      <c r="AY62" s="528"/>
      <c r="AZ62" s="528"/>
      <c r="BA62" s="528"/>
      <c r="BB62" s="528"/>
      <c r="BC62" s="528"/>
      <c r="BD62" s="528"/>
      <c r="BE62" s="528"/>
      <c r="BF62" s="528"/>
      <c r="BG62" s="528"/>
      <c r="BH62" s="528"/>
      <c r="BI62" s="528"/>
      <c r="BJ62" s="528"/>
      <c r="BK62" s="528"/>
      <c r="BL62" s="528"/>
      <c r="BM62" s="528"/>
      <c r="BN62" s="528"/>
      <c r="BO62" s="528"/>
      <c r="BP62" s="528"/>
      <c r="BQ62" s="528"/>
      <c r="BR62" s="528"/>
      <c r="BS62" s="528"/>
      <c r="BT62" s="528"/>
      <c r="BU62" s="528"/>
      <c r="BV62" s="528"/>
      <c r="BW62" s="528"/>
      <c r="BX62" s="528"/>
      <c r="BY62" s="528"/>
      <c r="BZ62" s="528"/>
      <c r="CA62" s="528"/>
      <c r="CB62" s="528"/>
      <c r="CC62" s="528"/>
      <c r="CD62" s="528"/>
      <c r="CE62" s="528"/>
      <c r="CF62" s="528"/>
      <c r="CG62" s="528"/>
      <c r="CH62" s="528"/>
      <c r="CI62" s="528"/>
      <c r="CJ62" s="528"/>
      <c r="CK62" s="528"/>
      <c r="CL62" s="528"/>
      <c r="CM62" s="528"/>
      <c r="CN62" s="528"/>
      <c r="CO62" s="528"/>
      <c r="CP62" s="528"/>
      <c r="CQ62" s="528"/>
      <c r="CR62" s="528"/>
      <c r="CS62" s="528"/>
      <c r="CT62" s="528"/>
      <c r="CU62" s="528"/>
      <c r="CV62" s="528"/>
      <c r="CW62" s="528"/>
      <c r="CX62" s="528"/>
      <c r="CY62" s="528"/>
      <c r="CZ62" s="528"/>
      <c r="DA62" s="528"/>
      <c r="DB62" s="528"/>
      <c r="DC62" s="528"/>
      <c r="DD62" s="528"/>
      <c r="DE62" s="528"/>
      <c r="DF62" s="528"/>
    </row>
    <row r="63" spans="1:110" s="534" customFormat="1" ht="27" outlineLevel="1">
      <c r="A63" s="527"/>
      <c r="B63" s="527"/>
      <c r="C63" s="527"/>
      <c r="D63" s="527"/>
      <c r="E63" s="535"/>
      <c r="F63" s="599" t="s">
        <v>409</v>
      </c>
      <c r="G63" s="600"/>
      <c r="H63" s="600"/>
      <c r="I63" s="605" t="s">
        <v>336</v>
      </c>
      <c r="J63" s="528"/>
      <c r="K63" s="528"/>
      <c r="L63" s="529"/>
      <c r="M63" s="530"/>
      <c r="N63" s="530"/>
      <c r="O63" s="528"/>
      <c r="P63" s="528"/>
      <c r="Q63" s="528"/>
      <c r="R63" s="527"/>
      <c r="S63" s="527"/>
      <c r="T63" s="527"/>
      <c r="U63" s="527"/>
      <c r="V63" s="528"/>
      <c r="W63" s="528"/>
      <c r="X63" s="528"/>
      <c r="Y63" s="528"/>
      <c r="Z63" s="528"/>
      <c r="AA63" s="528"/>
      <c r="AB63" s="528"/>
      <c r="AC63" s="528"/>
      <c r="AD63" s="528"/>
      <c r="AE63" s="528"/>
      <c r="AF63" s="528"/>
      <c r="AG63" s="528"/>
      <c r="AH63" s="528"/>
      <c r="AI63" s="528"/>
      <c r="AJ63" s="528"/>
      <c r="AK63" s="528"/>
      <c r="AL63" s="528"/>
      <c r="AM63" s="528"/>
      <c r="AN63" s="528"/>
      <c r="AO63" s="528"/>
      <c r="AP63" s="528"/>
      <c r="AQ63" s="528"/>
      <c r="AR63" s="528"/>
      <c r="AS63" s="528"/>
      <c r="AT63" s="528"/>
      <c r="AU63" s="528"/>
      <c r="AV63" s="528"/>
      <c r="AW63" s="528"/>
      <c r="AX63" s="528"/>
      <c r="AY63" s="528"/>
      <c r="AZ63" s="528"/>
      <c r="BA63" s="528"/>
      <c r="BB63" s="528"/>
      <c r="BC63" s="528"/>
      <c r="BD63" s="528"/>
      <c r="BE63" s="528"/>
      <c r="BF63" s="528"/>
      <c r="BG63" s="528"/>
      <c r="BH63" s="528"/>
      <c r="BI63" s="528"/>
      <c r="BJ63" s="528"/>
      <c r="BK63" s="528"/>
      <c r="BL63" s="528"/>
      <c r="BM63" s="528"/>
      <c r="BN63" s="528"/>
      <c r="BO63" s="528"/>
      <c r="BP63" s="528"/>
      <c r="BQ63" s="528"/>
      <c r="BR63" s="528"/>
      <c r="BS63" s="528"/>
      <c r="BT63" s="528"/>
      <c r="BU63" s="528"/>
      <c r="BV63" s="528"/>
      <c r="BW63" s="528"/>
      <c r="BX63" s="528"/>
      <c r="BY63" s="528"/>
      <c r="BZ63" s="528"/>
      <c r="CA63" s="528"/>
      <c r="CB63" s="528"/>
      <c r="CC63" s="528"/>
      <c r="CD63" s="528"/>
      <c r="CE63" s="528"/>
      <c r="CF63" s="528"/>
      <c r="CG63" s="528"/>
      <c r="CH63" s="528"/>
      <c r="CI63" s="528"/>
      <c r="CJ63" s="528"/>
      <c r="CK63" s="528"/>
      <c r="CL63" s="528"/>
      <c r="CM63" s="528"/>
      <c r="CN63" s="528"/>
      <c r="CO63" s="528"/>
      <c r="CP63" s="528"/>
      <c r="CQ63" s="528"/>
      <c r="CR63" s="528"/>
      <c r="CS63" s="528"/>
      <c r="CT63" s="528"/>
      <c r="CU63" s="528"/>
      <c r="CV63" s="528"/>
      <c r="CW63" s="528"/>
      <c r="CX63" s="528"/>
      <c r="CY63" s="528"/>
      <c r="CZ63" s="528"/>
      <c r="DA63" s="528"/>
      <c r="DB63" s="528"/>
      <c r="DC63" s="528"/>
      <c r="DD63" s="528"/>
      <c r="DE63" s="528"/>
      <c r="DF63" s="528"/>
    </row>
    <row r="64" spans="1:110" s="534" customFormat="1" ht="27.5" outlineLevel="1" thickBot="1">
      <c r="A64" s="527"/>
      <c r="B64" s="527"/>
      <c r="C64" s="527"/>
      <c r="D64" s="527"/>
      <c r="E64" s="535"/>
      <c r="F64" s="601"/>
      <c r="G64" s="602"/>
      <c r="H64" s="602"/>
      <c r="I64" s="606"/>
      <c r="J64" s="528"/>
      <c r="K64" s="528"/>
      <c r="L64" s="529"/>
      <c r="M64" s="530"/>
      <c r="N64" s="530"/>
      <c r="O64" s="528"/>
      <c r="P64" s="528"/>
      <c r="Q64" s="528"/>
      <c r="R64" s="527"/>
      <c r="S64" s="527"/>
      <c r="T64" s="527"/>
      <c r="U64" s="527"/>
      <c r="V64" s="528"/>
      <c r="W64" s="528"/>
      <c r="X64" s="528"/>
      <c r="Y64" s="528"/>
      <c r="Z64" s="528"/>
      <c r="AA64" s="528"/>
      <c r="AB64" s="528"/>
      <c r="AC64" s="528"/>
      <c r="AD64" s="528"/>
      <c r="AE64" s="528"/>
      <c r="AF64" s="528"/>
      <c r="AG64" s="528"/>
      <c r="AH64" s="528"/>
      <c r="AI64" s="528"/>
      <c r="AJ64" s="528"/>
      <c r="AK64" s="528"/>
      <c r="AL64" s="528"/>
      <c r="AM64" s="528"/>
      <c r="AN64" s="528"/>
      <c r="AO64" s="528"/>
      <c r="AP64" s="528"/>
      <c r="AQ64" s="528"/>
      <c r="AR64" s="528"/>
      <c r="AS64" s="528"/>
      <c r="AT64" s="528"/>
      <c r="AU64" s="528"/>
      <c r="AV64" s="528"/>
      <c r="AW64" s="528"/>
      <c r="AX64" s="528"/>
      <c r="AY64" s="528"/>
      <c r="AZ64" s="528"/>
      <c r="BA64" s="528"/>
      <c r="BB64" s="528"/>
      <c r="BC64" s="528"/>
      <c r="BD64" s="528"/>
      <c r="BE64" s="528"/>
      <c r="BF64" s="528"/>
      <c r="BG64" s="528"/>
      <c r="BH64" s="528"/>
      <c r="BI64" s="528"/>
      <c r="BJ64" s="528"/>
      <c r="BK64" s="528"/>
      <c r="BL64" s="528"/>
      <c r="BM64" s="528"/>
      <c r="BN64" s="528"/>
      <c r="BO64" s="528"/>
      <c r="BP64" s="528"/>
      <c r="BQ64" s="528"/>
      <c r="BR64" s="528"/>
      <c r="BS64" s="528"/>
      <c r="BT64" s="528"/>
      <c r="BU64" s="528"/>
      <c r="BV64" s="528"/>
      <c r="BW64" s="528"/>
      <c r="BX64" s="528"/>
      <c r="BY64" s="528"/>
      <c r="BZ64" s="528"/>
      <c r="CA64" s="528"/>
      <c r="CB64" s="528"/>
      <c r="CC64" s="528"/>
      <c r="CD64" s="528"/>
      <c r="CE64" s="528"/>
      <c r="CF64" s="528"/>
      <c r="CG64" s="528"/>
      <c r="CH64" s="528"/>
      <c r="CI64" s="528"/>
      <c r="CJ64" s="528"/>
      <c r="CK64" s="528"/>
      <c r="CL64" s="528"/>
      <c r="CM64" s="528"/>
      <c r="CN64" s="528"/>
      <c r="CO64" s="528"/>
      <c r="CP64" s="528"/>
      <c r="CQ64" s="528"/>
      <c r="CR64" s="528"/>
      <c r="CS64" s="528"/>
      <c r="CT64" s="528"/>
      <c r="CU64" s="528"/>
      <c r="CV64" s="528"/>
      <c r="CW64" s="528"/>
      <c r="CX64" s="528"/>
      <c r="CY64" s="528"/>
      <c r="CZ64" s="528"/>
      <c r="DA64" s="528"/>
      <c r="DB64" s="528"/>
      <c r="DC64" s="528"/>
      <c r="DD64" s="528"/>
      <c r="DE64" s="528"/>
      <c r="DF64" s="528"/>
    </row>
    <row r="65" spans="1:110" s="534" customFormat="1" ht="27.5" outlineLevel="1" thickBot="1">
      <c r="A65" s="527"/>
      <c r="B65" s="527"/>
      <c r="C65" s="527"/>
      <c r="D65" s="527"/>
      <c r="E65" s="535"/>
      <c r="F65" s="642" t="s">
        <v>353</v>
      </c>
      <c r="G65" s="643"/>
      <c r="H65" s="564" t="s">
        <v>411</v>
      </c>
      <c r="I65" s="568" t="s">
        <v>414</v>
      </c>
      <c r="J65" s="528"/>
      <c r="K65" s="528"/>
      <c r="L65" s="529"/>
      <c r="M65" s="530"/>
      <c r="N65" s="530"/>
      <c r="O65" s="528"/>
      <c r="P65" s="528"/>
      <c r="Q65" s="528"/>
      <c r="R65" s="527"/>
      <c r="S65" s="527"/>
      <c r="T65" s="527"/>
      <c r="U65" s="527"/>
      <c r="V65" s="528"/>
      <c r="W65" s="528"/>
      <c r="X65" s="528"/>
      <c r="Y65" s="528"/>
      <c r="Z65" s="528"/>
      <c r="AA65" s="528"/>
      <c r="AB65" s="528"/>
      <c r="AC65" s="528"/>
      <c r="AD65" s="528"/>
      <c r="AE65" s="528"/>
      <c r="AF65" s="528"/>
      <c r="AG65" s="528"/>
      <c r="AH65" s="528"/>
      <c r="AI65" s="528"/>
      <c r="AJ65" s="528"/>
      <c r="AK65" s="528"/>
      <c r="AL65" s="528"/>
      <c r="AM65" s="528"/>
      <c r="AN65" s="528"/>
      <c r="AO65" s="528"/>
      <c r="AP65" s="528"/>
      <c r="AQ65" s="528"/>
      <c r="AR65" s="528"/>
      <c r="AS65" s="528"/>
      <c r="AT65" s="528"/>
      <c r="AU65" s="528"/>
      <c r="AV65" s="528"/>
      <c r="AW65" s="528"/>
      <c r="AX65" s="528"/>
      <c r="AY65" s="528"/>
      <c r="AZ65" s="528"/>
      <c r="BA65" s="528"/>
      <c r="BB65" s="528"/>
      <c r="BC65" s="528"/>
      <c r="BD65" s="528"/>
      <c r="BE65" s="528"/>
      <c r="BF65" s="528"/>
      <c r="BG65" s="528"/>
      <c r="BH65" s="528"/>
      <c r="BI65" s="528"/>
      <c r="BJ65" s="528"/>
      <c r="BK65" s="528"/>
      <c r="BL65" s="528"/>
      <c r="BM65" s="528"/>
      <c r="BN65" s="528"/>
      <c r="BO65" s="528"/>
      <c r="BP65" s="528"/>
      <c r="BQ65" s="528"/>
      <c r="BR65" s="528"/>
      <c r="BS65" s="528"/>
      <c r="BT65" s="528"/>
      <c r="BU65" s="528"/>
      <c r="BV65" s="528"/>
      <c r="BW65" s="528"/>
      <c r="BX65" s="528"/>
      <c r="BY65" s="528"/>
      <c r="BZ65" s="528"/>
      <c r="CA65" s="528"/>
      <c r="CB65" s="528"/>
      <c r="CC65" s="528"/>
      <c r="CD65" s="528"/>
      <c r="CE65" s="528"/>
      <c r="CF65" s="528"/>
      <c r="CG65" s="528"/>
      <c r="CH65" s="528"/>
      <c r="CI65" s="528"/>
      <c r="CJ65" s="528"/>
      <c r="CK65" s="528"/>
      <c r="CL65" s="528"/>
      <c r="CM65" s="528"/>
      <c r="CN65" s="528"/>
      <c r="CO65" s="528"/>
      <c r="CP65" s="528"/>
      <c r="CQ65" s="528"/>
      <c r="CR65" s="528"/>
      <c r="CS65" s="528"/>
      <c r="CT65" s="528"/>
      <c r="CU65" s="528"/>
      <c r="CV65" s="528"/>
      <c r="CW65" s="528"/>
      <c r="CX65" s="528"/>
      <c r="CY65" s="528"/>
      <c r="CZ65" s="528"/>
      <c r="DA65" s="528"/>
      <c r="DB65" s="528"/>
      <c r="DC65" s="528"/>
      <c r="DD65" s="528"/>
      <c r="DE65" s="528"/>
      <c r="DF65" s="528"/>
    </row>
    <row r="66" spans="1:110" s="534" customFormat="1" ht="27.5" outlineLevel="1" thickBot="1">
      <c r="A66" s="527"/>
      <c r="B66" s="527"/>
      <c r="C66" s="527"/>
      <c r="D66" s="527"/>
      <c r="E66" s="535"/>
      <c r="F66" s="552" t="s">
        <v>348</v>
      </c>
      <c r="G66" s="553">
        <v>0.1</v>
      </c>
      <c r="H66" s="565">
        <v>6000</v>
      </c>
      <c r="I66" s="569">
        <v>36</v>
      </c>
      <c r="J66" s="528"/>
      <c r="K66" s="528"/>
      <c r="L66" s="529"/>
      <c r="M66" s="530"/>
      <c r="N66" s="530"/>
      <c r="O66" s="528"/>
      <c r="P66" s="528"/>
      <c r="Q66" s="528"/>
      <c r="R66" s="527"/>
      <c r="S66" s="527"/>
      <c r="T66" s="527"/>
      <c r="U66" s="527"/>
      <c r="V66" s="528"/>
      <c r="W66" s="528"/>
      <c r="X66" s="528"/>
      <c r="Y66" s="528"/>
      <c r="Z66" s="528"/>
      <c r="AA66" s="528"/>
      <c r="AB66" s="528"/>
      <c r="AC66" s="528"/>
      <c r="AD66" s="528"/>
      <c r="AE66" s="528"/>
      <c r="AF66" s="528"/>
      <c r="AG66" s="528"/>
      <c r="AH66" s="528"/>
      <c r="AI66" s="528"/>
      <c r="AJ66" s="528"/>
      <c r="AK66" s="528"/>
      <c r="AL66" s="528"/>
      <c r="AM66" s="528"/>
      <c r="AN66" s="528"/>
      <c r="AO66" s="528"/>
      <c r="AP66" s="528"/>
      <c r="AQ66" s="528"/>
      <c r="AR66" s="528"/>
      <c r="AS66" s="528"/>
      <c r="AT66" s="528"/>
      <c r="AU66" s="528"/>
      <c r="AV66" s="528"/>
      <c r="AW66" s="528"/>
      <c r="AX66" s="528"/>
      <c r="AY66" s="528"/>
      <c r="AZ66" s="528"/>
      <c r="BA66" s="528"/>
      <c r="BB66" s="528"/>
      <c r="BC66" s="528"/>
      <c r="BD66" s="528"/>
      <c r="BE66" s="528"/>
      <c r="BF66" s="528"/>
      <c r="BG66" s="528"/>
      <c r="BH66" s="528"/>
      <c r="BI66" s="528"/>
      <c r="BJ66" s="528"/>
      <c r="BK66" s="528"/>
      <c r="BL66" s="528"/>
      <c r="BM66" s="528"/>
      <c r="BN66" s="528"/>
      <c r="BO66" s="528"/>
      <c r="BP66" s="528"/>
      <c r="BQ66" s="528"/>
      <c r="BR66" s="528"/>
      <c r="BS66" s="528"/>
      <c r="BT66" s="528"/>
      <c r="BU66" s="528"/>
      <c r="BV66" s="528"/>
      <c r="BW66" s="528"/>
      <c r="BX66" s="528"/>
      <c r="BY66" s="528"/>
      <c r="BZ66" s="528"/>
      <c r="CA66" s="528"/>
      <c r="CB66" s="528"/>
      <c r="CC66" s="528"/>
      <c r="CD66" s="528"/>
      <c r="CE66" s="528"/>
      <c r="CF66" s="528"/>
      <c r="CG66" s="528"/>
      <c r="CH66" s="528"/>
      <c r="CI66" s="528"/>
      <c r="CJ66" s="528"/>
      <c r="CK66" s="528"/>
      <c r="CL66" s="528"/>
      <c r="CM66" s="528"/>
      <c r="CN66" s="528"/>
      <c r="CO66" s="528"/>
      <c r="CP66" s="528"/>
      <c r="CQ66" s="528"/>
      <c r="CR66" s="528"/>
      <c r="CS66" s="528"/>
      <c r="CT66" s="528"/>
      <c r="CU66" s="528"/>
      <c r="CV66" s="528"/>
      <c r="CW66" s="528"/>
      <c r="CX66" s="528"/>
      <c r="CY66" s="528"/>
      <c r="CZ66" s="528"/>
      <c r="DA66" s="528"/>
      <c r="DB66" s="528"/>
      <c r="DC66" s="528"/>
      <c r="DD66" s="528"/>
      <c r="DE66" s="528"/>
      <c r="DF66" s="528"/>
    </row>
    <row r="67" spans="1:110" s="534" customFormat="1" ht="27.5" outlineLevel="1" thickBot="1">
      <c r="A67" s="527"/>
      <c r="B67" s="527"/>
      <c r="C67" s="527"/>
      <c r="D67" s="527"/>
      <c r="E67" s="535"/>
      <c r="F67" s="552" t="s">
        <v>349</v>
      </c>
      <c r="G67" s="553">
        <v>0.25</v>
      </c>
      <c r="H67" s="565">
        <v>6000</v>
      </c>
      <c r="I67" s="569">
        <v>36</v>
      </c>
      <c r="J67" s="528"/>
      <c r="K67" s="528"/>
      <c r="L67" s="529"/>
      <c r="M67" s="530"/>
      <c r="N67" s="530"/>
      <c r="O67" s="528"/>
      <c r="P67" s="528"/>
      <c r="Q67" s="528"/>
      <c r="R67" s="527"/>
      <c r="S67" s="527"/>
      <c r="T67" s="527"/>
      <c r="U67" s="527"/>
      <c r="V67" s="528"/>
      <c r="W67" s="528"/>
      <c r="X67" s="528"/>
      <c r="Y67" s="528"/>
      <c r="Z67" s="528"/>
      <c r="AA67" s="528"/>
      <c r="AB67" s="528"/>
      <c r="AC67" s="528"/>
      <c r="AD67" s="528"/>
      <c r="AE67" s="528"/>
      <c r="AF67" s="528"/>
      <c r="AG67" s="528"/>
      <c r="AH67" s="528"/>
      <c r="AI67" s="528"/>
      <c r="AJ67" s="528"/>
      <c r="AK67" s="528"/>
      <c r="AL67" s="528"/>
      <c r="AM67" s="528"/>
      <c r="AN67" s="528"/>
      <c r="AO67" s="528"/>
      <c r="AP67" s="528"/>
      <c r="AQ67" s="528"/>
      <c r="AR67" s="528"/>
      <c r="AS67" s="528"/>
      <c r="AT67" s="528"/>
      <c r="AU67" s="528"/>
      <c r="AV67" s="528"/>
      <c r="AW67" s="528"/>
      <c r="AX67" s="528"/>
      <c r="AY67" s="528"/>
      <c r="AZ67" s="528"/>
      <c r="BA67" s="528"/>
      <c r="BB67" s="528"/>
      <c r="BC67" s="528"/>
      <c r="BD67" s="528"/>
      <c r="BE67" s="528"/>
      <c r="BF67" s="528"/>
      <c r="BG67" s="528"/>
      <c r="BH67" s="528"/>
      <c r="BI67" s="528"/>
      <c r="BJ67" s="528"/>
      <c r="BK67" s="528"/>
      <c r="BL67" s="528"/>
      <c r="BM67" s="528"/>
      <c r="BN67" s="528"/>
      <c r="BO67" s="528"/>
      <c r="BP67" s="528"/>
      <c r="BQ67" s="528"/>
      <c r="BR67" s="528"/>
      <c r="BS67" s="528"/>
      <c r="BT67" s="528"/>
      <c r="BU67" s="528"/>
      <c r="BV67" s="528"/>
      <c r="BW67" s="528"/>
      <c r="BX67" s="528"/>
      <c r="BY67" s="528"/>
      <c r="BZ67" s="528"/>
      <c r="CA67" s="528"/>
      <c r="CB67" s="528"/>
      <c r="CC67" s="528"/>
      <c r="CD67" s="528"/>
      <c r="CE67" s="528"/>
      <c r="CF67" s="528"/>
      <c r="CG67" s="528"/>
      <c r="CH67" s="528"/>
      <c r="CI67" s="528"/>
      <c r="CJ67" s="528"/>
      <c r="CK67" s="528"/>
      <c r="CL67" s="528"/>
      <c r="CM67" s="528"/>
      <c r="CN67" s="528"/>
      <c r="CO67" s="528"/>
      <c r="CP67" s="528"/>
      <c r="CQ67" s="528"/>
      <c r="CR67" s="528"/>
      <c r="CS67" s="528"/>
      <c r="CT67" s="528"/>
      <c r="CU67" s="528"/>
      <c r="CV67" s="528"/>
      <c r="CW67" s="528"/>
      <c r="CX67" s="528"/>
      <c r="CY67" s="528"/>
      <c r="CZ67" s="528"/>
      <c r="DA67" s="528"/>
      <c r="DB67" s="528"/>
      <c r="DC67" s="528"/>
      <c r="DD67" s="528"/>
      <c r="DE67" s="528"/>
      <c r="DF67" s="528"/>
    </row>
    <row r="68" spans="1:110" s="534" customFormat="1" ht="27.5" outlineLevel="1" thickBot="1">
      <c r="A68" s="527"/>
      <c r="B68" s="527"/>
      <c r="C68" s="527"/>
      <c r="D68" s="527"/>
      <c r="E68" s="535"/>
      <c r="F68" s="552" t="s">
        <v>350</v>
      </c>
      <c r="G68" s="553">
        <v>0.3</v>
      </c>
      <c r="H68" s="565">
        <v>6000</v>
      </c>
      <c r="I68" s="569">
        <v>36</v>
      </c>
      <c r="J68" s="528"/>
      <c r="K68" s="528"/>
      <c r="L68" s="529"/>
      <c r="M68" s="530"/>
      <c r="N68" s="530"/>
      <c r="O68" s="528"/>
      <c r="P68" s="528"/>
      <c r="Q68" s="528"/>
      <c r="R68" s="527"/>
      <c r="S68" s="527"/>
      <c r="T68" s="527"/>
      <c r="U68" s="527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528"/>
      <c r="AI68" s="528"/>
      <c r="AJ68" s="528"/>
      <c r="AK68" s="528"/>
      <c r="AL68" s="528"/>
      <c r="AM68" s="528"/>
      <c r="AN68" s="528"/>
      <c r="AO68" s="528"/>
      <c r="AP68" s="528"/>
      <c r="AQ68" s="528"/>
      <c r="AR68" s="528"/>
      <c r="AS68" s="528"/>
      <c r="AT68" s="528"/>
      <c r="AU68" s="528"/>
      <c r="AV68" s="528"/>
      <c r="AW68" s="528"/>
      <c r="AX68" s="528"/>
      <c r="AY68" s="528"/>
      <c r="AZ68" s="528"/>
      <c r="BA68" s="528"/>
      <c r="BB68" s="528"/>
      <c r="BC68" s="528"/>
      <c r="BD68" s="528"/>
      <c r="BE68" s="528"/>
      <c r="BF68" s="528"/>
      <c r="BG68" s="528"/>
      <c r="BH68" s="528"/>
      <c r="BI68" s="528"/>
      <c r="BJ68" s="528"/>
      <c r="BK68" s="528"/>
      <c r="BL68" s="528"/>
      <c r="BM68" s="528"/>
      <c r="BN68" s="528"/>
      <c r="BO68" s="528"/>
      <c r="BP68" s="528"/>
      <c r="BQ68" s="528"/>
      <c r="BR68" s="528"/>
      <c r="BS68" s="528"/>
      <c r="BT68" s="528"/>
      <c r="BU68" s="528"/>
      <c r="BV68" s="528"/>
      <c r="BW68" s="528"/>
      <c r="BX68" s="528"/>
      <c r="BY68" s="528"/>
      <c r="BZ68" s="528"/>
      <c r="CA68" s="528"/>
      <c r="CB68" s="528"/>
      <c r="CC68" s="528"/>
      <c r="CD68" s="528"/>
      <c r="CE68" s="528"/>
      <c r="CF68" s="528"/>
      <c r="CG68" s="528"/>
      <c r="CH68" s="528"/>
      <c r="CI68" s="528"/>
      <c r="CJ68" s="528"/>
      <c r="CK68" s="528"/>
      <c r="CL68" s="528"/>
      <c r="CM68" s="528"/>
      <c r="CN68" s="528"/>
      <c r="CO68" s="528"/>
      <c r="CP68" s="528"/>
      <c r="CQ68" s="528"/>
      <c r="CR68" s="528"/>
      <c r="CS68" s="528"/>
      <c r="CT68" s="528"/>
      <c r="CU68" s="528"/>
      <c r="CV68" s="528"/>
      <c r="CW68" s="528"/>
      <c r="CX68" s="528"/>
      <c r="CY68" s="528"/>
      <c r="CZ68" s="528"/>
      <c r="DA68" s="528"/>
      <c r="DB68" s="528"/>
      <c r="DC68" s="528"/>
      <c r="DD68" s="528"/>
      <c r="DE68" s="528"/>
      <c r="DF68" s="528"/>
    </row>
    <row r="69" spans="1:110" s="534" customFormat="1" ht="27.5" outlineLevel="1" thickBot="1">
      <c r="A69" s="527"/>
      <c r="B69" s="527"/>
      <c r="C69" s="527"/>
      <c r="D69" s="527"/>
      <c r="E69" s="535"/>
      <c r="F69" s="552" t="s">
        <v>351</v>
      </c>
      <c r="G69" s="553">
        <v>0.3</v>
      </c>
      <c r="H69" s="565">
        <v>7000</v>
      </c>
      <c r="I69" s="569">
        <v>48</v>
      </c>
      <c r="J69" s="528"/>
      <c r="K69" s="528"/>
      <c r="L69" s="529"/>
      <c r="M69" s="530"/>
      <c r="N69" s="530"/>
      <c r="O69" s="528"/>
      <c r="P69" s="528"/>
      <c r="Q69" s="528"/>
      <c r="R69" s="527"/>
      <c r="S69" s="527"/>
      <c r="T69" s="527"/>
      <c r="U69" s="527"/>
      <c r="V69" s="528"/>
      <c r="W69" s="528"/>
      <c r="X69" s="528"/>
      <c r="Y69" s="528"/>
      <c r="Z69" s="528"/>
      <c r="AA69" s="528"/>
      <c r="AB69" s="528"/>
      <c r="AC69" s="528"/>
      <c r="AD69" s="528"/>
      <c r="AE69" s="528"/>
      <c r="AF69" s="528"/>
      <c r="AG69" s="528"/>
      <c r="AH69" s="528"/>
      <c r="AI69" s="528"/>
      <c r="AJ69" s="528"/>
      <c r="AK69" s="528"/>
      <c r="AL69" s="528"/>
      <c r="AM69" s="528"/>
      <c r="AN69" s="528"/>
      <c r="AO69" s="528"/>
      <c r="AP69" s="528"/>
      <c r="AQ69" s="528"/>
      <c r="AR69" s="528"/>
      <c r="AS69" s="528"/>
      <c r="AT69" s="528"/>
      <c r="AU69" s="528"/>
      <c r="AV69" s="528"/>
      <c r="AW69" s="528"/>
      <c r="AX69" s="528"/>
      <c r="AY69" s="528"/>
      <c r="AZ69" s="528"/>
      <c r="BA69" s="528"/>
      <c r="BB69" s="528"/>
      <c r="BC69" s="528"/>
      <c r="BD69" s="528"/>
      <c r="BE69" s="528"/>
      <c r="BF69" s="528"/>
      <c r="BG69" s="528"/>
      <c r="BH69" s="528"/>
      <c r="BI69" s="528"/>
      <c r="BJ69" s="528"/>
      <c r="BK69" s="528"/>
      <c r="BL69" s="528"/>
      <c r="BM69" s="528"/>
      <c r="BN69" s="528"/>
      <c r="BO69" s="528"/>
      <c r="BP69" s="528"/>
      <c r="BQ69" s="528"/>
      <c r="BR69" s="528"/>
      <c r="BS69" s="528"/>
      <c r="BT69" s="528"/>
      <c r="BU69" s="528"/>
      <c r="BV69" s="528"/>
      <c r="BW69" s="528"/>
      <c r="BX69" s="528"/>
      <c r="BY69" s="528"/>
      <c r="BZ69" s="528"/>
      <c r="CA69" s="528"/>
      <c r="CB69" s="528"/>
      <c r="CC69" s="528"/>
      <c r="CD69" s="528"/>
      <c r="CE69" s="528"/>
      <c r="CF69" s="528"/>
      <c r="CG69" s="528"/>
      <c r="CH69" s="528"/>
      <c r="CI69" s="528"/>
      <c r="CJ69" s="528"/>
      <c r="CK69" s="528"/>
      <c r="CL69" s="528"/>
      <c r="CM69" s="528"/>
      <c r="CN69" s="528"/>
      <c r="CO69" s="528"/>
      <c r="CP69" s="528"/>
      <c r="CQ69" s="528"/>
      <c r="CR69" s="528"/>
      <c r="CS69" s="528"/>
      <c r="CT69" s="528"/>
      <c r="CU69" s="528"/>
      <c r="CV69" s="528"/>
      <c r="CW69" s="528"/>
      <c r="CX69" s="528"/>
      <c r="CY69" s="528"/>
      <c r="CZ69" s="528"/>
      <c r="DA69" s="528"/>
      <c r="DB69" s="528"/>
      <c r="DC69" s="528"/>
      <c r="DD69" s="528"/>
      <c r="DE69" s="528"/>
      <c r="DF69" s="528"/>
    </row>
    <row r="70" spans="1:110" s="534" customFormat="1" ht="27.5" outlineLevel="1" thickBot="1">
      <c r="A70" s="527"/>
      <c r="B70" s="527"/>
      <c r="C70" s="527"/>
      <c r="D70" s="527"/>
      <c r="E70" s="535"/>
      <c r="F70" s="552" t="s">
        <v>352</v>
      </c>
      <c r="G70" s="553">
        <v>0.3</v>
      </c>
      <c r="H70" s="566">
        <v>8000</v>
      </c>
      <c r="I70" s="570">
        <v>48</v>
      </c>
      <c r="J70" s="528"/>
      <c r="K70" s="528"/>
      <c r="L70" s="529"/>
      <c r="M70" s="530"/>
      <c r="N70" s="530"/>
      <c r="O70" s="528"/>
      <c r="P70" s="528"/>
      <c r="Q70" s="528"/>
      <c r="R70" s="527"/>
      <c r="S70" s="527"/>
      <c r="T70" s="527"/>
      <c r="U70" s="527"/>
      <c r="V70" s="528"/>
      <c r="W70" s="528"/>
      <c r="X70" s="528"/>
      <c r="Y70" s="528"/>
      <c r="Z70" s="528"/>
      <c r="AA70" s="528"/>
      <c r="AB70" s="528"/>
      <c r="AC70" s="528"/>
      <c r="AD70" s="528"/>
      <c r="AE70" s="528"/>
      <c r="AF70" s="528"/>
      <c r="AG70" s="528"/>
      <c r="AH70" s="528"/>
      <c r="AI70" s="528"/>
      <c r="AJ70" s="528"/>
      <c r="AK70" s="528"/>
      <c r="AL70" s="528"/>
      <c r="AM70" s="528"/>
      <c r="AN70" s="528"/>
      <c r="AO70" s="528"/>
      <c r="AP70" s="528"/>
      <c r="AQ70" s="528"/>
      <c r="AR70" s="528"/>
      <c r="AS70" s="528"/>
      <c r="AT70" s="528"/>
      <c r="AU70" s="528"/>
      <c r="AV70" s="528"/>
      <c r="AW70" s="528"/>
      <c r="AX70" s="528"/>
      <c r="AY70" s="528"/>
      <c r="AZ70" s="528"/>
      <c r="BA70" s="528"/>
      <c r="BB70" s="528"/>
      <c r="BC70" s="528"/>
      <c r="BD70" s="528"/>
      <c r="BE70" s="528"/>
      <c r="BF70" s="528"/>
      <c r="BG70" s="528"/>
      <c r="BH70" s="528"/>
      <c r="BI70" s="528"/>
      <c r="BJ70" s="528"/>
      <c r="BK70" s="528"/>
      <c r="BL70" s="528"/>
      <c r="BM70" s="528"/>
      <c r="BN70" s="528"/>
      <c r="BO70" s="528"/>
      <c r="BP70" s="528"/>
      <c r="BQ70" s="528"/>
      <c r="BR70" s="528"/>
      <c r="BS70" s="528"/>
      <c r="BT70" s="528"/>
      <c r="BU70" s="528"/>
      <c r="BV70" s="528"/>
      <c r="BW70" s="528"/>
      <c r="BX70" s="528"/>
      <c r="BY70" s="528"/>
      <c r="BZ70" s="528"/>
      <c r="CA70" s="528"/>
      <c r="CB70" s="528"/>
      <c r="CC70" s="528"/>
      <c r="CD70" s="528"/>
      <c r="CE70" s="528"/>
      <c r="CF70" s="528"/>
      <c r="CG70" s="528"/>
      <c r="CH70" s="528"/>
      <c r="CI70" s="528"/>
      <c r="CJ70" s="528"/>
      <c r="CK70" s="528"/>
      <c r="CL70" s="528"/>
      <c r="CM70" s="528"/>
      <c r="CN70" s="528"/>
      <c r="CO70" s="528"/>
      <c r="CP70" s="528"/>
      <c r="CQ70" s="528"/>
      <c r="CR70" s="528"/>
      <c r="CS70" s="528"/>
      <c r="CT70" s="528"/>
      <c r="CU70" s="528"/>
      <c r="CV70" s="528"/>
      <c r="CW70" s="528"/>
      <c r="CX70" s="528"/>
      <c r="CY70" s="528"/>
      <c r="CZ70" s="528"/>
      <c r="DA70" s="528"/>
      <c r="DB70" s="528"/>
      <c r="DC70" s="528"/>
      <c r="DD70" s="528"/>
      <c r="DE70" s="528"/>
      <c r="DF70" s="528"/>
    </row>
    <row r="71" spans="1:110" s="534" customFormat="1" ht="27.5" outlineLevel="1" thickBot="1">
      <c r="A71" s="527"/>
      <c r="B71" s="527"/>
      <c r="C71" s="527"/>
      <c r="D71" s="527"/>
      <c r="E71" s="535"/>
      <c r="F71" s="527"/>
      <c r="G71" s="527"/>
      <c r="H71" s="550"/>
      <c r="I71" s="551"/>
      <c r="J71" s="528"/>
      <c r="K71" s="528"/>
      <c r="L71" s="529"/>
      <c r="M71" s="530"/>
      <c r="N71" s="530"/>
      <c r="O71" s="528"/>
      <c r="P71" s="528"/>
      <c r="Q71" s="528"/>
      <c r="R71" s="527"/>
      <c r="S71" s="527"/>
      <c r="T71" s="527"/>
      <c r="U71" s="527"/>
      <c r="V71" s="528"/>
      <c r="W71" s="528"/>
      <c r="X71" s="528"/>
      <c r="Y71" s="528"/>
      <c r="Z71" s="528"/>
      <c r="AA71" s="528"/>
      <c r="AB71" s="528"/>
      <c r="AC71" s="528"/>
      <c r="AD71" s="528"/>
      <c r="AE71" s="528"/>
      <c r="AF71" s="528"/>
      <c r="AG71" s="528"/>
      <c r="AH71" s="528"/>
      <c r="AI71" s="528"/>
      <c r="AJ71" s="528"/>
      <c r="AK71" s="528"/>
      <c r="AL71" s="528"/>
      <c r="AM71" s="528"/>
      <c r="AN71" s="528"/>
      <c r="AO71" s="528"/>
      <c r="AP71" s="528"/>
      <c r="AQ71" s="528"/>
      <c r="AR71" s="528"/>
      <c r="AS71" s="528"/>
      <c r="AT71" s="528"/>
      <c r="AU71" s="528"/>
      <c r="AV71" s="528"/>
      <c r="AW71" s="528"/>
      <c r="AX71" s="528"/>
      <c r="AY71" s="528"/>
      <c r="AZ71" s="528"/>
      <c r="BA71" s="528"/>
      <c r="BB71" s="528"/>
      <c r="BC71" s="528"/>
      <c r="BD71" s="528"/>
      <c r="BE71" s="528"/>
      <c r="BF71" s="528"/>
      <c r="BG71" s="528"/>
      <c r="BH71" s="528"/>
      <c r="BI71" s="528"/>
      <c r="BJ71" s="528"/>
      <c r="BK71" s="528"/>
      <c r="BL71" s="528"/>
      <c r="BM71" s="528"/>
      <c r="BN71" s="528"/>
      <c r="BO71" s="528"/>
      <c r="BP71" s="528"/>
      <c r="BQ71" s="528"/>
      <c r="BR71" s="528"/>
      <c r="BS71" s="528"/>
      <c r="BT71" s="528"/>
      <c r="BU71" s="528"/>
      <c r="BV71" s="528"/>
      <c r="BW71" s="528"/>
      <c r="BX71" s="528"/>
      <c r="BY71" s="528"/>
      <c r="BZ71" s="528"/>
      <c r="CA71" s="528"/>
      <c r="CB71" s="528"/>
      <c r="CC71" s="528"/>
      <c r="CD71" s="528"/>
      <c r="CE71" s="528"/>
      <c r="CF71" s="528"/>
      <c r="CG71" s="528"/>
      <c r="CH71" s="528"/>
      <c r="CI71" s="528"/>
      <c r="CJ71" s="528"/>
      <c r="CK71" s="528"/>
      <c r="CL71" s="528"/>
      <c r="CM71" s="528"/>
      <c r="CN71" s="528"/>
      <c r="CO71" s="528"/>
      <c r="CP71" s="528"/>
      <c r="CQ71" s="528"/>
      <c r="CR71" s="528"/>
      <c r="CS71" s="528"/>
      <c r="CT71" s="528"/>
      <c r="CU71" s="528"/>
      <c r="CV71" s="528"/>
      <c r="CW71" s="528"/>
      <c r="CX71" s="528"/>
      <c r="CY71" s="528"/>
      <c r="CZ71" s="528"/>
      <c r="DA71" s="528"/>
      <c r="DB71" s="528"/>
      <c r="DC71" s="528"/>
      <c r="DD71" s="528"/>
      <c r="DE71" s="528"/>
      <c r="DF71" s="528"/>
    </row>
    <row r="72" spans="1:110" s="534" customFormat="1" ht="27.5" outlineLevel="1" thickBot="1">
      <c r="A72" s="527"/>
      <c r="B72" s="527"/>
      <c r="C72" s="527"/>
      <c r="D72" s="527"/>
      <c r="E72" s="535"/>
      <c r="F72" s="644" t="s">
        <v>354</v>
      </c>
      <c r="G72" s="645"/>
      <c r="H72" s="567" t="s">
        <v>413</v>
      </c>
      <c r="I72" s="571" t="s">
        <v>415</v>
      </c>
      <c r="J72" s="528"/>
      <c r="K72" s="528"/>
      <c r="L72" s="529"/>
      <c r="M72" s="530"/>
      <c r="N72" s="530"/>
      <c r="O72" s="528"/>
      <c r="P72" s="528"/>
      <c r="Q72" s="528"/>
      <c r="R72" s="527"/>
      <c r="S72" s="527"/>
      <c r="T72" s="527"/>
      <c r="U72" s="527"/>
      <c r="V72" s="528"/>
      <c r="W72" s="528"/>
      <c r="X72" s="528"/>
      <c r="Y72" s="528"/>
      <c r="Z72" s="528"/>
      <c r="AA72" s="528"/>
      <c r="AB72" s="528"/>
      <c r="AC72" s="528"/>
      <c r="AD72" s="528"/>
      <c r="AE72" s="528"/>
      <c r="AF72" s="528"/>
      <c r="AG72" s="528"/>
      <c r="AH72" s="528"/>
      <c r="AI72" s="528"/>
      <c r="AJ72" s="528"/>
      <c r="AK72" s="528"/>
      <c r="AL72" s="528"/>
      <c r="AM72" s="528"/>
      <c r="AN72" s="528"/>
      <c r="AO72" s="528"/>
      <c r="AP72" s="528"/>
      <c r="AQ72" s="528"/>
      <c r="AR72" s="528"/>
      <c r="AS72" s="528"/>
      <c r="AT72" s="528"/>
      <c r="AU72" s="528"/>
      <c r="AV72" s="528"/>
      <c r="AW72" s="528"/>
      <c r="AX72" s="528"/>
      <c r="AY72" s="528"/>
      <c r="AZ72" s="528"/>
      <c r="BA72" s="528"/>
      <c r="BB72" s="528"/>
      <c r="BC72" s="528"/>
      <c r="BD72" s="528"/>
      <c r="BE72" s="528"/>
      <c r="BF72" s="528"/>
      <c r="BG72" s="528"/>
      <c r="BH72" s="528"/>
      <c r="BI72" s="528"/>
      <c r="BJ72" s="528"/>
      <c r="BK72" s="528"/>
      <c r="BL72" s="528"/>
      <c r="BM72" s="528"/>
      <c r="BN72" s="528"/>
      <c r="BO72" s="528"/>
      <c r="BP72" s="528"/>
      <c r="BQ72" s="528"/>
      <c r="BR72" s="528"/>
      <c r="BS72" s="528"/>
      <c r="BT72" s="528"/>
      <c r="BU72" s="528"/>
      <c r="BV72" s="528"/>
      <c r="BW72" s="528"/>
      <c r="BX72" s="528"/>
      <c r="BY72" s="528"/>
      <c r="BZ72" s="528"/>
      <c r="CA72" s="528"/>
      <c r="CB72" s="528"/>
      <c r="CC72" s="528"/>
      <c r="CD72" s="528"/>
      <c r="CE72" s="528"/>
      <c r="CF72" s="528"/>
      <c r="CG72" s="528"/>
      <c r="CH72" s="528"/>
      <c r="CI72" s="528"/>
      <c r="CJ72" s="528"/>
      <c r="CK72" s="528"/>
      <c r="CL72" s="528"/>
      <c r="CM72" s="528"/>
      <c r="CN72" s="528"/>
      <c r="CO72" s="528"/>
      <c r="CP72" s="528"/>
      <c r="CQ72" s="528"/>
      <c r="CR72" s="528"/>
      <c r="CS72" s="528"/>
      <c r="CT72" s="528"/>
      <c r="CU72" s="528"/>
      <c r="CV72" s="528"/>
      <c r="CW72" s="528"/>
      <c r="CX72" s="528"/>
      <c r="CY72" s="528"/>
      <c r="CZ72" s="528"/>
      <c r="DA72" s="528"/>
      <c r="DB72" s="528"/>
      <c r="DC72" s="528"/>
      <c r="DD72" s="528"/>
      <c r="DE72" s="528"/>
      <c r="DF72" s="528"/>
    </row>
    <row r="73" spans="1:110" s="534" customFormat="1" ht="27.5" outlineLevel="1" thickBot="1">
      <c r="A73" s="527"/>
      <c r="B73" s="527"/>
      <c r="C73" s="527"/>
      <c r="D73" s="527"/>
      <c r="E73" s="535"/>
      <c r="F73" s="552" t="s">
        <v>348</v>
      </c>
      <c r="G73" s="553">
        <v>0.2</v>
      </c>
      <c r="H73" s="559">
        <v>6000</v>
      </c>
      <c r="I73" s="572">
        <v>48</v>
      </c>
      <c r="J73" s="528"/>
      <c r="K73" s="528"/>
      <c r="L73" s="529"/>
      <c r="M73" s="530"/>
      <c r="N73" s="530"/>
      <c r="O73" s="528"/>
      <c r="P73" s="528"/>
      <c r="Q73" s="528"/>
      <c r="R73" s="527"/>
      <c r="S73" s="527"/>
      <c r="T73" s="527"/>
      <c r="U73" s="527"/>
      <c r="V73" s="528"/>
      <c r="W73" s="528"/>
      <c r="X73" s="528"/>
      <c r="Y73" s="528"/>
      <c r="Z73" s="528"/>
      <c r="AA73" s="528"/>
      <c r="AB73" s="528"/>
      <c r="AC73" s="528"/>
      <c r="AD73" s="528"/>
      <c r="AE73" s="528"/>
      <c r="AF73" s="528"/>
      <c r="AG73" s="528"/>
      <c r="AH73" s="528"/>
      <c r="AI73" s="528"/>
      <c r="AJ73" s="528"/>
      <c r="AK73" s="528"/>
      <c r="AL73" s="528"/>
      <c r="AM73" s="528"/>
      <c r="AN73" s="528"/>
      <c r="AO73" s="528"/>
      <c r="AP73" s="528"/>
      <c r="AQ73" s="528"/>
      <c r="AR73" s="528"/>
      <c r="AS73" s="528"/>
      <c r="AT73" s="528"/>
      <c r="AU73" s="528"/>
      <c r="AV73" s="528"/>
      <c r="AW73" s="528"/>
      <c r="AX73" s="528"/>
      <c r="AY73" s="528"/>
      <c r="AZ73" s="528"/>
      <c r="BA73" s="528"/>
      <c r="BB73" s="528"/>
      <c r="BC73" s="528"/>
      <c r="BD73" s="528"/>
      <c r="BE73" s="528"/>
      <c r="BF73" s="528"/>
      <c r="BG73" s="528"/>
      <c r="BH73" s="528"/>
      <c r="BI73" s="528"/>
      <c r="BJ73" s="528"/>
      <c r="BK73" s="528"/>
      <c r="BL73" s="528"/>
      <c r="BM73" s="528"/>
      <c r="BN73" s="528"/>
      <c r="BO73" s="528"/>
      <c r="BP73" s="528"/>
      <c r="BQ73" s="528"/>
      <c r="BR73" s="528"/>
      <c r="BS73" s="528"/>
      <c r="BT73" s="528"/>
      <c r="BU73" s="528"/>
      <c r="BV73" s="528"/>
      <c r="BW73" s="528"/>
      <c r="BX73" s="528"/>
      <c r="BY73" s="528"/>
      <c r="BZ73" s="528"/>
      <c r="CA73" s="528"/>
      <c r="CB73" s="528"/>
      <c r="CC73" s="528"/>
      <c r="CD73" s="528"/>
      <c r="CE73" s="528"/>
      <c r="CF73" s="528"/>
      <c r="CG73" s="528"/>
      <c r="CH73" s="528"/>
      <c r="CI73" s="528"/>
      <c r="CJ73" s="528"/>
      <c r="CK73" s="528"/>
      <c r="CL73" s="528"/>
      <c r="CM73" s="528"/>
      <c r="CN73" s="528"/>
      <c r="CO73" s="528"/>
      <c r="CP73" s="528"/>
      <c r="CQ73" s="528"/>
      <c r="CR73" s="528"/>
      <c r="CS73" s="528"/>
      <c r="CT73" s="528"/>
      <c r="CU73" s="528"/>
      <c r="CV73" s="528"/>
      <c r="CW73" s="528"/>
      <c r="CX73" s="528"/>
      <c r="CY73" s="528"/>
      <c r="CZ73" s="528"/>
      <c r="DA73" s="528"/>
      <c r="DB73" s="528"/>
      <c r="DC73" s="528"/>
      <c r="DD73" s="528"/>
      <c r="DE73" s="528"/>
      <c r="DF73" s="528"/>
    </row>
    <row r="74" spans="1:110" s="534" customFormat="1" ht="27.5" outlineLevel="1" thickBot="1">
      <c r="A74" s="527"/>
      <c r="B74" s="527"/>
      <c r="C74" s="527"/>
      <c r="D74" s="527"/>
      <c r="E74" s="535"/>
      <c r="F74" s="552" t="s">
        <v>349</v>
      </c>
      <c r="G74" s="558">
        <v>0.3</v>
      </c>
      <c r="H74" s="559">
        <v>6000</v>
      </c>
      <c r="I74" s="569">
        <v>48</v>
      </c>
      <c r="J74" s="528"/>
      <c r="K74" s="528"/>
      <c r="L74" s="529"/>
      <c r="M74" s="530"/>
      <c r="N74" s="530"/>
      <c r="O74" s="528"/>
      <c r="P74" s="528"/>
      <c r="Q74" s="528"/>
      <c r="R74" s="527"/>
      <c r="S74" s="527"/>
      <c r="T74" s="527"/>
      <c r="U74" s="527"/>
      <c r="V74" s="528"/>
      <c r="W74" s="528"/>
      <c r="X74" s="528"/>
      <c r="Y74" s="528"/>
      <c r="Z74" s="528"/>
      <c r="AA74" s="528"/>
      <c r="AB74" s="528"/>
      <c r="AC74" s="528"/>
      <c r="AD74" s="528"/>
      <c r="AE74" s="528"/>
      <c r="AF74" s="528"/>
      <c r="AG74" s="528"/>
      <c r="AH74" s="528"/>
      <c r="AI74" s="528"/>
      <c r="AJ74" s="528"/>
      <c r="AK74" s="528"/>
      <c r="AL74" s="528"/>
      <c r="AM74" s="528"/>
      <c r="AN74" s="528"/>
      <c r="AO74" s="528"/>
      <c r="AP74" s="528"/>
      <c r="AQ74" s="528"/>
      <c r="AR74" s="528"/>
      <c r="AS74" s="528"/>
      <c r="AT74" s="528"/>
      <c r="AU74" s="528"/>
      <c r="AV74" s="528"/>
      <c r="AW74" s="528"/>
      <c r="AX74" s="528"/>
      <c r="AY74" s="528"/>
      <c r="AZ74" s="528"/>
      <c r="BA74" s="528"/>
      <c r="BB74" s="528"/>
      <c r="BC74" s="528"/>
      <c r="BD74" s="528"/>
      <c r="BE74" s="528"/>
      <c r="BF74" s="528"/>
      <c r="BG74" s="528"/>
      <c r="BH74" s="528"/>
      <c r="BI74" s="528"/>
      <c r="BJ74" s="528"/>
      <c r="BK74" s="528"/>
      <c r="BL74" s="528"/>
      <c r="BM74" s="528"/>
      <c r="BN74" s="528"/>
      <c r="BO74" s="528"/>
      <c r="BP74" s="528"/>
      <c r="BQ74" s="528"/>
      <c r="BR74" s="528"/>
      <c r="BS74" s="528"/>
      <c r="BT74" s="528"/>
      <c r="BU74" s="528"/>
      <c r="BV74" s="528"/>
      <c r="BW74" s="528"/>
      <c r="BX74" s="528"/>
      <c r="BY74" s="528"/>
      <c r="BZ74" s="528"/>
      <c r="CA74" s="528"/>
      <c r="CB74" s="528"/>
      <c r="CC74" s="528"/>
      <c r="CD74" s="528"/>
      <c r="CE74" s="528"/>
      <c r="CF74" s="528"/>
      <c r="CG74" s="528"/>
      <c r="CH74" s="528"/>
      <c r="CI74" s="528"/>
      <c r="CJ74" s="528"/>
      <c r="CK74" s="528"/>
      <c r="CL74" s="528"/>
      <c r="CM74" s="528"/>
      <c r="CN74" s="528"/>
      <c r="CO74" s="528"/>
      <c r="CP74" s="528"/>
      <c r="CQ74" s="528"/>
      <c r="CR74" s="528"/>
      <c r="CS74" s="528"/>
      <c r="CT74" s="528"/>
      <c r="CU74" s="528"/>
      <c r="CV74" s="528"/>
      <c r="CW74" s="528"/>
      <c r="CX74" s="528"/>
      <c r="CY74" s="528"/>
      <c r="CZ74" s="528"/>
      <c r="DA74" s="528"/>
      <c r="DB74" s="528"/>
      <c r="DC74" s="528"/>
      <c r="DD74" s="528"/>
      <c r="DE74" s="528"/>
      <c r="DF74" s="528"/>
    </row>
    <row r="75" spans="1:110" s="534" customFormat="1" ht="27.5" outlineLevel="1" thickBot="1">
      <c r="A75" s="527"/>
      <c r="B75" s="527"/>
      <c r="C75" s="527"/>
      <c r="D75" s="527"/>
      <c r="E75" s="535"/>
      <c r="F75" s="552" t="s">
        <v>350</v>
      </c>
      <c r="G75" s="558">
        <v>0.35</v>
      </c>
      <c r="H75" s="559">
        <v>6000</v>
      </c>
      <c r="I75" s="569">
        <v>48</v>
      </c>
      <c r="J75" s="528"/>
      <c r="K75" s="528"/>
      <c r="L75" s="529"/>
      <c r="M75" s="530"/>
      <c r="N75" s="530"/>
      <c r="O75" s="528"/>
      <c r="P75" s="528"/>
      <c r="Q75" s="528"/>
      <c r="R75" s="527"/>
      <c r="S75" s="527"/>
      <c r="T75" s="527"/>
      <c r="U75" s="527"/>
      <c r="V75" s="528"/>
      <c r="W75" s="528"/>
      <c r="X75" s="528"/>
      <c r="Y75" s="528"/>
      <c r="Z75" s="528"/>
      <c r="AA75" s="528"/>
      <c r="AB75" s="528"/>
      <c r="AC75" s="528"/>
      <c r="AD75" s="528"/>
      <c r="AE75" s="528"/>
      <c r="AF75" s="528"/>
      <c r="AG75" s="528"/>
      <c r="AH75" s="528"/>
      <c r="AI75" s="528"/>
      <c r="AJ75" s="528"/>
      <c r="AK75" s="528"/>
      <c r="AL75" s="528"/>
      <c r="AM75" s="528"/>
      <c r="AN75" s="528"/>
      <c r="AO75" s="528"/>
      <c r="AP75" s="528"/>
      <c r="AQ75" s="528"/>
      <c r="AR75" s="528"/>
      <c r="AS75" s="528"/>
      <c r="AT75" s="528"/>
      <c r="AU75" s="528"/>
      <c r="AV75" s="528"/>
      <c r="AW75" s="528"/>
      <c r="AX75" s="528"/>
      <c r="AY75" s="528"/>
      <c r="AZ75" s="528"/>
      <c r="BA75" s="528"/>
      <c r="BB75" s="528"/>
      <c r="BC75" s="528"/>
      <c r="BD75" s="528"/>
      <c r="BE75" s="528"/>
      <c r="BF75" s="528"/>
      <c r="BG75" s="528"/>
      <c r="BH75" s="528"/>
      <c r="BI75" s="528"/>
      <c r="BJ75" s="528"/>
      <c r="BK75" s="528"/>
      <c r="BL75" s="528"/>
      <c r="BM75" s="528"/>
      <c r="BN75" s="528"/>
      <c r="BO75" s="528"/>
      <c r="BP75" s="528"/>
      <c r="BQ75" s="528"/>
      <c r="BR75" s="528"/>
      <c r="BS75" s="528"/>
      <c r="BT75" s="528"/>
      <c r="BU75" s="528"/>
      <c r="BV75" s="528"/>
      <c r="BW75" s="528"/>
      <c r="BX75" s="528"/>
      <c r="BY75" s="528"/>
      <c r="BZ75" s="528"/>
      <c r="CA75" s="528"/>
      <c r="CB75" s="528"/>
      <c r="CC75" s="528"/>
      <c r="CD75" s="528"/>
      <c r="CE75" s="528"/>
      <c r="CF75" s="528"/>
      <c r="CG75" s="528"/>
      <c r="CH75" s="528"/>
      <c r="CI75" s="528"/>
      <c r="CJ75" s="528"/>
      <c r="CK75" s="528"/>
      <c r="CL75" s="528"/>
      <c r="CM75" s="528"/>
      <c r="CN75" s="528"/>
      <c r="CO75" s="528"/>
      <c r="CP75" s="528"/>
      <c r="CQ75" s="528"/>
      <c r="CR75" s="528"/>
      <c r="CS75" s="528"/>
      <c r="CT75" s="528"/>
      <c r="CU75" s="528"/>
      <c r="CV75" s="528"/>
      <c r="CW75" s="528"/>
      <c r="CX75" s="528"/>
      <c r="CY75" s="528"/>
      <c r="CZ75" s="528"/>
      <c r="DA75" s="528"/>
      <c r="DB75" s="528"/>
      <c r="DC75" s="528"/>
      <c r="DD75" s="528"/>
      <c r="DE75" s="528"/>
      <c r="DF75" s="528"/>
    </row>
    <row r="76" spans="1:110" s="534" customFormat="1" ht="27.5" outlineLevel="1" thickBot="1">
      <c r="A76" s="527"/>
      <c r="B76" s="527"/>
      <c r="C76" s="527"/>
      <c r="D76" s="527"/>
      <c r="E76" s="535"/>
      <c r="F76" s="552" t="s">
        <v>351</v>
      </c>
      <c r="G76" s="558">
        <v>0.35</v>
      </c>
      <c r="H76" s="559">
        <v>7000</v>
      </c>
      <c r="I76" s="569">
        <v>48</v>
      </c>
      <c r="J76" s="528"/>
      <c r="K76" s="528"/>
      <c r="L76" s="529"/>
      <c r="M76" s="530"/>
      <c r="N76" s="530"/>
      <c r="O76" s="528"/>
      <c r="P76" s="528"/>
      <c r="Q76" s="528"/>
      <c r="R76" s="527"/>
      <c r="S76" s="527"/>
      <c r="T76" s="527"/>
      <c r="U76" s="527"/>
      <c r="V76" s="528"/>
      <c r="W76" s="528"/>
      <c r="X76" s="528"/>
      <c r="Y76" s="528"/>
      <c r="Z76" s="528"/>
      <c r="AA76" s="528"/>
      <c r="AB76" s="528"/>
      <c r="AC76" s="528"/>
      <c r="AD76" s="528"/>
      <c r="AE76" s="528"/>
      <c r="AF76" s="528"/>
      <c r="AG76" s="528"/>
      <c r="AH76" s="528"/>
      <c r="AI76" s="528"/>
      <c r="AJ76" s="528"/>
      <c r="AK76" s="528"/>
      <c r="AL76" s="528"/>
      <c r="AM76" s="528"/>
      <c r="AN76" s="528"/>
      <c r="AO76" s="528"/>
      <c r="AP76" s="528"/>
      <c r="AQ76" s="528"/>
      <c r="AR76" s="528"/>
      <c r="AS76" s="528"/>
      <c r="AT76" s="528"/>
      <c r="AU76" s="528"/>
      <c r="AV76" s="528"/>
      <c r="AW76" s="528"/>
      <c r="AX76" s="528"/>
      <c r="AY76" s="528"/>
      <c r="AZ76" s="528"/>
      <c r="BA76" s="528"/>
      <c r="BB76" s="528"/>
      <c r="BC76" s="528"/>
      <c r="BD76" s="528"/>
      <c r="BE76" s="528"/>
      <c r="BF76" s="528"/>
      <c r="BG76" s="528"/>
      <c r="BH76" s="528"/>
      <c r="BI76" s="528"/>
      <c r="BJ76" s="528"/>
      <c r="BK76" s="528"/>
      <c r="BL76" s="528"/>
      <c r="BM76" s="528"/>
      <c r="BN76" s="528"/>
      <c r="BO76" s="528"/>
      <c r="BP76" s="528"/>
      <c r="BQ76" s="528"/>
      <c r="BR76" s="528"/>
      <c r="BS76" s="528"/>
      <c r="BT76" s="528"/>
      <c r="BU76" s="528"/>
      <c r="BV76" s="528"/>
      <c r="BW76" s="528"/>
      <c r="BX76" s="528"/>
      <c r="BY76" s="528"/>
      <c r="BZ76" s="528"/>
      <c r="CA76" s="528"/>
      <c r="CB76" s="528"/>
      <c r="CC76" s="528"/>
      <c r="CD76" s="528"/>
      <c r="CE76" s="528"/>
      <c r="CF76" s="528"/>
      <c r="CG76" s="528"/>
      <c r="CH76" s="528"/>
      <c r="CI76" s="528"/>
      <c r="CJ76" s="528"/>
      <c r="CK76" s="528"/>
      <c r="CL76" s="528"/>
      <c r="CM76" s="528"/>
      <c r="CN76" s="528"/>
      <c r="CO76" s="528"/>
      <c r="CP76" s="528"/>
      <c r="CQ76" s="528"/>
      <c r="CR76" s="528"/>
      <c r="CS76" s="528"/>
      <c r="CT76" s="528"/>
      <c r="CU76" s="528"/>
      <c r="CV76" s="528"/>
      <c r="CW76" s="528"/>
      <c r="CX76" s="528"/>
      <c r="CY76" s="528"/>
      <c r="CZ76" s="528"/>
      <c r="DA76" s="528"/>
      <c r="DB76" s="528"/>
      <c r="DC76" s="528"/>
      <c r="DD76" s="528"/>
      <c r="DE76" s="528"/>
      <c r="DF76" s="528"/>
    </row>
    <row r="77" spans="1:110" s="534" customFormat="1" ht="27.5" outlineLevel="1" thickBot="1">
      <c r="A77" s="527"/>
      <c r="B77" s="527"/>
      <c r="C77" s="527"/>
      <c r="D77" s="527"/>
      <c r="E77" s="535"/>
      <c r="F77" s="552" t="s">
        <v>352</v>
      </c>
      <c r="G77" s="558">
        <v>0.4</v>
      </c>
      <c r="H77" s="560">
        <v>8000</v>
      </c>
      <c r="I77" s="570">
        <v>48</v>
      </c>
      <c r="J77" s="528"/>
      <c r="K77" s="528"/>
      <c r="L77" s="529"/>
      <c r="M77" s="530"/>
      <c r="N77" s="530"/>
      <c r="O77" s="528"/>
      <c r="P77" s="528"/>
      <c r="Q77" s="528"/>
      <c r="R77" s="527"/>
      <c r="S77" s="527"/>
      <c r="T77" s="527"/>
      <c r="U77" s="527"/>
      <c r="V77" s="528"/>
      <c r="W77" s="528"/>
      <c r="X77" s="528"/>
      <c r="Y77" s="528"/>
      <c r="Z77" s="528"/>
      <c r="AA77" s="528"/>
      <c r="AB77" s="528"/>
      <c r="AC77" s="528"/>
      <c r="AD77" s="528"/>
      <c r="AE77" s="528"/>
      <c r="AF77" s="528"/>
      <c r="AG77" s="528"/>
      <c r="AH77" s="528"/>
      <c r="AI77" s="528"/>
      <c r="AJ77" s="528"/>
      <c r="AK77" s="528"/>
      <c r="AL77" s="528"/>
      <c r="AM77" s="528"/>
      <c r="AN77" s="528"/>
      <c r="AO77" s="528"/>
      <c r="AP77" s="528"/>
      <c r="AQ77" s="528"/>
      <c r="AR77" s="528"/>
      <c r="AS77" s="528"/>
      <c r="AT77" s="528"/>
      <c r="AU77" s="528"/>
      <c r="AV77" s="528"/>
      <c r="AW77" s="528"/>
      <c r="AX77" s="528"/>
      <c r="AY77" s="528"/>
      <c r="AZ77" s="528"/>
      <c r="BA77" s="528"/>
      <c r="BB77" s="528"/>
      <c r="BC77" s="528"/>
      <c r="BD77" s="528"/>
      <c r="BE77" s="528"/>
      <c r="BF77" s="528"/>
      <c r="BG77" s="528"/>
      <c r="BH77" s="528"/>
      <c r="BI77" s="528"/>
      <c r="BJ77" s="528"/>
      <c r="BK77" s="528"/>
      <c r="BL77" s="528"/>
      <c r="BM77" s="528"/>
      <c r="BN77" s="528"/>
      <c r="BO77" s="528"/>
      <c r="BP77" s="528"/>
      <c r="BQ77" s="528"/>
      <c r="BR77" s="528"/>
      <c r="BS77" s="528"/>
      <c r="BT77" s="528"/>
      <c r="BU77" s="528"/>
      <c r="BV77" s="528"/>
      <c r="BW77" s="528"/>
      <c r="BX77" s="528"/>
      <c r="BY77" s="528"/>
      <c r="BZ77" s="528"/>
      <c r="CA77" s="528"/>
      <c r="CB77" s="528"/>
      <c r="CC77" s="528"/>
      <c r="CD77" s="528"/>
      <c r="CE77" s="528"/>
      <c r="CF77" s="528"/>
      <c r="CG77" s="528"/>
      <c r="CH77" s="528"/>
      <c r="CI77" s="528"/>
      <c r="CJ77" s="528"/>
      <c r="CK77" s="528"/>
      <c r="CL77" s="528"/>
      <c r="CM77" s="528"/>
      <c r="CN77" s="528"/>
      <c r="CO77" s="528"/>
      <c r="CP77" s="528"/>
      <c r="CQ77" s="528"/>
      <c r="CR77" s="528"/>
      <c r="CS77" s="528"/>
      <c r="CT77" s="528"/>
      <c r="CU77" s="528"/>
      <c r="CV77" s="528"/>
      <c r="CW77" s="528"/>
      <c r="CX77" s="528"/>
      <c r="CY77" s="528"/>
      <c r="CZ77" s="528"/>
      <c r="DA77" s="528"/>
      <c r="DB77" s="528"/>
      <c r="DC77" s="528"/>
      <c r="DD77" s="528"/>
      <c r="DE77" s="528"/>
      <c r="DF77" s="528"/>
    </row>
    <row r="78" spans="1:110" s="534" customFormat="1" ht="27.5" outlineLevel="1" thickBot="1">
      <c r="A78" s="527"/>
      <c r="B78" s="527"/>
      <c r="C78" s="527"/>
      <c r="D78" s="527"/>
      <c r="E78" s="535"/>
      <c r="F78" s="527"/>
      <c r="G78" s="527"/>
      <c r="H78" s="527"/>
      <c r="I78" s="551"/>
      <c r="J78" s="528"/>
      <c r="K78" s="528"/>
      <c r="L78" s="529"/>
      <c r="M78" s="530"/>
      <c r="N78" s="530"/>
      <c r="O78" s="528"/>
      <c r="P78" s="528"/>
      <c r="Q78" s="528"/>
      <c r="R78" s="527"/>
      <c r="S78" s="527"/>
      <c r="T78" s="527"/>
      <c r="U78" s="527"/>
      <c r="V78" s="528"/>
      <c r="W78" s="528"/>
      <c r="X78" s="528"/>
      <c r="Y78" s="528"/>
      <c r="Z78" s="528"/>
      <c r="AA78" s="528"/>
      <c r="AB78" s="528"/>
      <c r="AC78" s="528"/>
      <c r="AD78" s="528"/>
      <c r="AE78" s="528"/>
      <c r="AF78" s="528"/>
      <c r="AG78" s="528"/>
      <c r="AH78" s="528"/>
      <c r="AI78" s="528"/>
      <c r="AJ78" s="528"/>
      <c r="AK78" s="528"/>
      <c r="AL78" s="528"/>
      <c r="AM78" s="528"/>
      <c r="AN78" s="528"/>
      <c r="AO78" s="528"/>
      <c r="AP78" s="528"/>
      <c r="AQ78" s="528"/>
      <c r="AR78" s="528"/>
      <c r="AS78" s="528"/>
      <c r="AT78" s="528"/>
      <c r="AU78" s="528"/>
      <c r="AV78" s="528"/>
      <c r="AW78" s="528"/>
      <c r="AX78" s="528"/>
      <c r="AY78" s="528"/>
      <c r="AZ78" s="528"/>
      <c r="BA78" s="528"/>
      <c r="BB78" s="528"/>
      <c r="BC78" s="528"/>
      <c r="BD78" s="528"/>
      <c r="BE78" s="528"/>
      <c r="BF78" s="528"/>
      <c r="BG78" s="528"/>
      <c r="BH78" s="528"/>
      <c r="BI78" s="528"/>
      <c r="BJ78" s="528"/>
      <c r="BK78" s="528"/>
      <c r="BL78" s="528"/>
      <c r="BM78" s="528"/>
      <c r="BN78" s="528"/>
      <c r="BO78" s="528"/>
      <c r="BP78" s="528"/>
      <c r="BQ78" s="528"/>
      <c r="BR78" s="528"/>
      <c r="BS78" s="528"/>
      <c r="BT78" s="528"/>
      <c r="BU78" s="528"/>
      <c r="BV78" s="528"/>
      <c r="BW78" s="528"/>
      <c r="BX78" s="528"/>
      <c r="BY78" s="528"/>
      <c r="BZ78" s="528"/>
      <c r="CA78" s="528"/>
      <c r="CB78" s="528"/>
      <c r="CC78" s="528"/>
      <c r="CD78" s="528"/>
      <c r="CE78" s="528"/>
      <c r="CF78" s="528"/>
      <c r="CG78" s="528"/>
      <c r="CH78" s="528"/>
      <c r="CI78" s="528"/>
      <c r="CJ78" s="528"/>
      <c r="CK78" s="528"/>
      <c r="CL78" s="528"/>
      <c r="CM78" s="528"/>
      <c r="CN78" s="528"/>
      <c r="CO78" s="528"/>
      <c r="CP78" s="528"/>
      <c r="CQ78" s="528"/>
      <c r="CR78" s="528"/>
      <c r="CS78" s="528"/>
      <c r="CT78" s="528"/>
      <c r="CU78" s="528"/>
      <c r="CV78" s="528"/>
      <c r="CW78" s="528"/>
      <c r="CX78" s="528"/>
      <c r="CY78" s="528"/>
      <c r="CZ78" s="528"/>
      <c r="DA78" s="528"/>
      <c r="DB78" s="528"/>
      <c r="DC78" s="528"/>
      <c r="DD78" s="528"/>
      <c r="DE78" s="528"/>
      <c r="DF78" s="528"/>
    </row>
    <row r="79" spans="1:110" s="534" customFormat="1" ht="27" outlineLevel="1">
      <c r="A79" s="527"/>
      <c r="B79" s="527"/>
      <c r="C79" s="527"/>
      <c r="D79" s="527"/>
      <c r="E79" s="535"/>
      <c r="F79" s="599" t="s">
        <v>410</v>
      </c>
      <c r="G79" s="600"/>
      <c r="H79" s="603"/>
      <c r="I79" s="551"/>
      <c r="J79" s="528"/>
      <c r="K79" s="528"/>
      <c r="L79" s="529"/>
      <c r="M79" s="530"/>
      <c r="N79" s="530"/>
      <c r="O79" s="528"/>
      <c r="P79" s="528"/>
      <c r="Q79" s="528"/>
      <c r="R79" s="527"/>
      <c r="S79" s="527"/>
      <c r="T79" s="527"/>
      <c r="U79" s="527"/>
      <c r="V79" s="528"/>
      <c r="W79" s="528"/>
      <c r="X79" s="528"/>
      <c r="Y79" s="528"/>
      <c r="Z79" s="528"/>
      <c r="AA79" s="528"/>
      <c r="AB79" s="528"/>
      <c r="AC79" s="528"/>
      <c r="AD79" s="528"/>
      <c r="AE79" s="528"/>
      <c r="AF79" s="528"/>
      <c r="AG79" s="528"/>
      <c r="AH79" s="528"/>
      <c r="AI79" s="528"/>
      <c r="AJ79" s="528"/>
      <c r="AK79" s="528"/>
      <c r="AL79" s="528"/>
      <c r="AM79" s="528"/>
      <c r="AN79" s="528"/>
      <c r="AO79" s="528"/>
      <c r="AP79" s="528"/>
      <c r="AQ79" s="528"/>
      <c r="AR79" s="528"/>
      <c r="AS79" s="528"/>
      <c r="AT79" s="528"/>
      <c r="AU79" s="528"/>
      <c r="AV79" s="528"/>
      <c r="AW79" s="528"/>
      <c r="AX79" s="528"/>
      <c r="AY79" s="528"/>
      <c r="AZ79" s="528"/>
      <c r="BA79" s="528"/>
      <c r="BB79" s="528"/>
      <c r="BC79" s="528"/>
      <c r="BD79" s="528"/>
      <c r="BE79" s="528"/>
      <c r="BF79" s="528"/>
      <c r="BG79" s="528"/>
      <c r="BH79" s="528"/>
      <c r="BI79" s="528"/>
      <c r="BJ79" s="528"/>
      <c r="BK79" s="528"/>
      <c r="BL79" s="528"/>
      <c r="BM79" s="528"/>
      <c r="BN79" s="528"/>
      <c r="BO79" s="528"/>
      <c r="BP79" s="528"/>
      <c r="BQ79" s="528"/>
      <c r="BR79" s="528"/>
      <c r="BS79" s="528"/>
      <c r="BT79" s="528"/>
      <c r="BU79" s="528"/>
      <c r="BV79" s="528"/>
      <c r="BW79" s="528"/>
      <c r="BX79" s="528"/>
      <c r="BY79" s="528"/>
      <c r="BZ79" s="528"/>
      <c r="CA79" s="528"/>
      <c r="CB79" s="528"/>
      <c r="CC79" s="528"/>
      <c r="CD79" s="528"/>
      <c r="CE79" s="528"/>
      <c r="CF79" s="528"/>
      <c r="CG79" s="528"/>
      <c r="CH79" s="528"/>
      <c r="CI79" s="528"/>
      <c r="CJ79" s="528"/>
      <c r="CK79" s="528"/>
      <c r="CL79" s="528"/>
      <c r="CM79" s="528"/>
      <c r="CN79" s="528"/>
      <c r="CO79" s="528"/>
      <c r="CP79" s="528"/>
      <c r="CQ79" s="528"/>
      <c r="CR79" s="528"/>
      <c r="CS79" s="528"/>
      <c r="CT79" s="528"/>
      <c r="CU79" s="528"/>
      <c r="CV79" s="528"/>
      <c r="CW79" s="528"/>
      <c r="CX79" s="528"/>
      <c r="CY79" s="528"/>
      <c r="CZ79" s="528"/>
      <c r="DA79" s="528"/>
      <c r="DB79" s="528"/>
      <c r="DC79" s="528"/>
      <c r="DD79" s="528"/>
      <c r="DE79" s="528"/>
      <c r="DF79" s="528"/>
    </row>
    <row r="80" spans="1:110" s="534" customFormat="1" ht="27.5" outlineLevel="1" thickBot="1">
      <c r="A80" s="527"/>
      <c r="B80" s="527"/>
      <c r="C80" s="527"/>
      <c r="D80" s="527"/>
      <c r="E80" s="535"/>
      <c r="F80" s="601"/>
      <c r="G80" s="602"/>
      <c r="H80" s="604"/>
      <c r="I80" s="551"/>
      <c r="J80" s="528"/>
      <c r="K80" s="528"/>
      <c r="L80" s="529"/>
      <c r="M80" s="530"/>
      <c r="N80" s="530"/>
      <c r="O80" s="528"/>
      <c r="P80" s="528"/>
      <c r="Q80" s="528"/>
      <c r="R80" s="527"/>
      <c r="S80" s="527"/>
      <c r="T80" s="527"/>
      <c r="U80" s="527"/>
      <c r="V80" s="528"/>
      <c r="W80" s="528"/>
      <c r="X80" s="528"/>
      <c r="Y80" s="528"/>
      <c r="Z80" s="528"/>
      <c r="AA80" s="528"/>
      <c r="AB80" s="528"/>
      <c r="AC80" s="528"/>
      <c r="AD80" s="528"/>
      <c r="AE80" s="528"/>
      <c r="AF80" s="528"/>
      <c r="AG80" s="528"/>
      <c r="AH80" s="528"/>
      <c r="AI80" s="528"/>
      <c r="AJ80" s="528"/>
      <c r="AK80" s="528"/>
      <c r="AL80" s="528"/>
      <c r="AM80" s="528"/>
      <c r="AN80" s="528"/>
      <c r="AO80" s="528"/>
      <c r="AP80" s="528"/>
      <c r="AQ80" s="528"/>
      <c r="AR80" s="528"/>
      <c r="AS80" s="528"/>
      <c r="AT80" s="528"/>
      <c r="AU80" s="528"/>
      <c r="AV80" s="528"/>
      <c r="AW80" s="528"/>
      <c r="AX80" s="528"/>
      <c r="AY80" s="528"/>
      <c r="AZ80" s="528"/>
      <c r="BA80" s="528"/>
      <c r="BB80" s="528"/>
      <c r="BC80" s="528"/>
      <c r="BD80" s="528"/>
      <c r="BE80" s="528"/>
      <c r="BF80" s="528"/>
      <c r="BG80" s="528"/>
      <c r="BH80" s="528"/>
      <c r="BI80" s="528"/>
      <c r="BJ80" s="528"/>
      <c r="BK80" s="528"/>
      <c r="BL80" s="528"/>
      <c r="BM80" s="528"/>
      <c r="BN80" s="528"/>
      <c r="BO80" s="528"/>
      <c r="BP80" s="528"/>
      <c r="BQ80" s="528"/>
      <c r="BR80" s="528"/>
      <c r="BS80" s="528"/>
      <c r="BT80" s="528"/>
      <c r="BU80" s="528"/>
      <c r="BV80" s="528"/>
      <c r="BW80" s="528"/>
      <c r="BX80" s="528"/>
      <c r="BY80" s="528"/>
      <c r="BZ80" s="528"/>
      <c r="CA80" s="528"/>
      <c r="CB80" s="528"/>
      <c r="CC80" s="528"/>
      <c r="CD80" s="528"/>
      <c r="CE80" s="528"/>
      <c r="CF80" s="528"/>
      <c r="CG80" s="528"/>
      <c r="CH80" s="528"/>
      <c r="CI80" s="528"/>
      <c r="CJ80" s="528"/>
      <c r="CK80" s="528"/>
      <c r="CL80" s="528"/>
      <c r="CM80" s="528"/>
      <c r="CN80" s="528"/>
      <c r="CO80" s="528"/>
      <c r="CP80" s="528"/>
      <c r="CQ80" s="528"/>
      <c r="CR80" s="528"/>
      <c r="CS80" s="528"/>
      <c r="CT80" s="528"/>
      <c r="CU80" s="528"/>
      <c r="CV80" s="528"/>
      <c r="CW80" s="528"/>
      <c r="CX80" s="528"/>
      <c r="CY80" s="528"/>
      <c r="CZ80" s="528"/>
      <c r="DA80" s="528"/>
      <c r="DB80" s="528"/>
      <c r="DC80" s="528"/>
      <c r="DD80" s="528"/>
      <c r="DE80" s="528"/>
      <c r="DF80" s="528"/>
    </row>
    <row r="81" spans="1:110" s="534" customFormat="1" ht="27.5" outlineLevel="1" thickBot="1">
      <c r="A81" s="527"/>
      <c r="B81" s="527"/>
      <c r="C81" s="527"/>
      <c r="D81" s="527"/>
      <c r="E81" s="535"/>
      <c r="F81" s="642" t="s">
        <v>353</v>
      </c>
      <c r="G81" s="643"/>
      <c r="H81" s="561" t="s">
        <v>412</v>
      </c>
      <c r="I81" s="551"/>
      <c r="J81" s="528"/>
      <c r="K81" s="528"/>
      <c r="L81" s="529"/>
      <c r="M81" s="530"/>
      <c r="N81" s="530"/>
      <c r="O81" s="528"/>
      <c r="P81" s="528"/>
      <c r="Q81" s="528"/>
      <c r="R81" s="527"/>
      <c r="S81" s="527"/>
      <c r="T81" s="527"/>
      <c r="U81" s="527"/>
      <c r="V81" s="528"/>
      <c r="W81" s="528"/>
      <c r="X81" s="528"/>
      <c r="Y81" s="528"/>
      <c r="Z81" s="528"/>
      <c r="AA81" s="528"/>
      <c r="AB81" s="528"/>
      <c r="AC81" s="528"/>
      <c r="AD81" s="528"/>
      <c r="AE81" s="528"/>
      <c r="AF81" s="528"/>
      <c r="AG81" s="528"/>
      <c r="AH81" s="528"/>
      <c r="AI81" s="528"/>
      <c r="AJ81" s="528"/>
      <c r="AK81" s="528"/>
      <c r="AL81" s="528"/>
      <c r="AM81" s="528"/>
      <c r="AN81" s="528"/>
      <c r="AO81" s="528"/>
      <c r="AP81" s="528"/>
      <c r="AQ81" s="528"/>
      <c r="AR81" s="528"/>
      <c r="AS81" s="528"/>
      <c r="AT81" s="528"/>
      <c r="AU81" s="528"/>
      <c r="AV81" s="528"/>
      <c r="AW81" s="528"/>
      <c r="AX81" s="528"/>
      <c r="AY81" s="528"/>
      <c r="AZ81" s="528"/>
      <c r="BA81" s="528"/>
      <c r="BB81" s="528"/>
      <c r="BC81" s="528"/>
      <c r="BD81" s="528"/>
      <c r="BE81" s="528"/>
      <c r="BF81" s="528"/>
      <c r="BG81" s="528"/>
      <c r="BH81" s="528"/>
      <c r="BI81" s="528"/>
      <c r="BJ81" s="528"/>
      <c r="BK81" s="528"/>
      <c r="BL81" s="528"/>
      <c r="BM81" s="528"/>
      <c r="BN81" s="528"/>
      <c r="BO81" s="528"/>
      <c r="BP81" s="528"/>
      <c r="BQ81" s="528"/>
      <c r="BR81" s="528"/>
      <c r="BS81" s="528"/>
      <c r="BT81" s="528"/>
      <c r="BU81" s="528"/>
      <c r="BV81" s="528"/>
      <c r="BW81" s="528"/>
      <c r="BX81" s="528"/>
      <c r="BY81" s="528"/>
      <c r="BZ81" s="528"/>
      <c r="CA81" s="528"/>
      <c r="CB81" s="528"/>
      <c r="CC81" s="528"/>
      <c r="CD81" s="528"/>
      <c r="CE81" s="528"/>
      <c r="CF81" s="528"/>
      <c r="CG81" s="528"/>
      <c r="CH81" s="528"/>
      <c r="CI81" s="528"/>
      <c r="CJ81" s="528"/>
      <c r="CK81" s="528"/>
      <c r="CL81" s="528"/>
      <c r="CM81" s="528"/>
      <c r="CN81" s="528"/>
      <c r="CO81" s="528"/>
      <c r="CP81" s="528"/>
      <c r="CQ81" s="528"/>
      <c r="CR81" s="528"/>
      <c r="CS81" s="528"/>
      <c r="CT81" s="528"/>
      <c r="CU81" s="528"/>
      <c r="CV81" s="528"/>
      <c r="CW81" s="528"/>
      <c r="CX81" s="528"/>
      <c r="CY81" s="528"/>
      <c r="CZ81" s="528"/>
      <c r="DA81" s="528"/>
      <c r="DB81" s="528"/>
      <c r="DC81" s="528"/>
      <c r="DD81" s="528"/>
      <c r="DE81" s="528"/>
      <c r="DF81" s="528"/>
    </row>
    <row r="82" spans="1:110" s="534" customFormat="1" ht="27.5" outlineLevel="1" thickBot="1">
      <c r="A82" s="527"/>
      <c r="B82" s="527"/>
      <c r="C82" s="527"/>
      <c r="D82" s="527"/>
      <c r="E82" s="535"/>
      <c r="F82" s="552" t="s">
        <v>348</v>
      </c>
      <c r="G82" s="553">
        <v>0.3</v>
      </c>
      <c r="H82" s="562">
        <v>5000</v>
      </c>
      <c r="I82" s="551"/>
      <c r="J82" s="528"/>
      <c r="K82" s="528"/>
      <c r="L82" s="529"/>
      <c r="M82" s="530"/>
      <c r="N82" s="530"/>
      <c r="O82" s="528"/>
      <c r="P82" s="528"/>
      <c r="Q82" s="528"/>
      <c r="R82" s="527"/>
      <c r="S82" s="527"/>
      <c r="T82" s="527"/>
      <c r="U82" s="527"/>
      <c r="V82" s="528"/>
      <c r="W82" s="528"/>
      <c r="X82" s="528"/>
      <c r="Y82" s="528"/>
      <c r="Z82" s="528"/>
      <c r="AA82" s="528"/>
      <c r="AB82" s="528"/>
      <c r="AC82" s="528"/>
      <c r="AD82" s="528"/>
      <c r="AE82" s="528"/>
      <c r="AF82" s="528"/>
      <c r="AG82" s="528"/>
      <c r="AH82" s="528"/>
      <c r="AI82" s="528"/>
      <c r="AJ82" s="528"/>
      <c r="AK82" s="528"/>
      <c r="AL82" s="528"/>
      <c r="AM82" s="528"/>
      <c r="AN82" s="528"/>
      <c r="AO82" s="528"/>
      <c r="AP82" s="528"/>
      <c r="AQ82" s="528"/>
      <c r="AR82" s="528"/>
      <c r="AS82" s="528"/>
      <c r="AT82" s="528"/>
      <c r="AU82" s="528"/>
      <c r="AV82" s="528"/>
      <c r="AW82" s="528"/>
      <c r="AX82" s="528"/>
      <c r="AY82" s="528"/>
      <c r="AZ82" s="528"/>
      <c r="BA82" s="528"/>
      <c r="BB82" s="528"/>
      <c r="BC82" s="528"/>
      <c r="BD82" s="528"/>
      <c r="BE82" s="528"/>
      <c r="BF82" s="528"/>
      <c r="BG82" s="528"/>
      <c r="BH82" s="528"/>
      <c r="BI82" s="528"/>
      <c r="BJ82" s="528"/>
      <c r="BK82" s="528"/>
      <c r="BL82" s="528"/>
      <c r="BM82" s="528"/>
      <c r="BN82" s="528"/>
      <c r="BO82" s="528"/>
      <c r="BP82" s="528"/>
      <c r="BQ82" s="528"/>
      <c r="BR82" s="528"/>
      <c r="BS82" s="528"/>
      <c r="BT82" s="528"/>
      <c r="BU82" s="528"/>
      <c r="BV82" s="528"/>
      <c r="BW82" s="528"/>
      <c r="BX82" s="528"/>
      <c r="BY82" s="528"/>
      <c r="BZ82" s="528"/>
      <c r="CA82" s="528"/>
      <c r="CB82" s="528"/>
      <c r="CC82" s="528"/>
      <c r="CD82" s="528"/>
      <c r="CE82" s="528"/>
      <c r="CF82" s="528"/>
      <c r="CG82" s="528"/>
      <c r="CH82" s="528"/>
      <c r="CI82" s="528"/>
      <c r="CJ82" s="528"/>
      <c r="CK82" s="528"/>
      <c r="CL82" s="528"/>
      <c r="CM82" s="528"/>
      <c r="CN82" s="528"/>
      <c r="CO82" s="528"/>
      <c r="CP82" s="528"/>
      <c r="CQ82" s="528"/>
      <c r="CR82" s="528"/>
      <c r="CS82" s="528"/>
      <c r="CT82" s="528"/>
      <c r="CU82" s="528"/>
      <c r="CV82" s="528"/>
      <c r="CW82" s="528"/>
      <c r="CX82" s="528"/>
      <c r="CY82" s="528"/>
      <c r="CZ82" s="528"/>
      <c r="DA82" s="528"/>
      <c r="DB82" s="528"/>
      <c r="DC82" s="528"/>
      <c r="DD82" s="528"/>
      <c r="DE82" s="528"/>
      <c r="DF82" s="528"/>
    </row>
    <row r="83" spans="1:110" s="534" customFormat="1" ht="27.5" outlineLevel="1" thickBot="1">
      <c r="A83" s="527"/>
      <c r="B83" s="527"/>
      <c r="C83" s="527"/>
      <c r="D83" s="527"/>
      <c r="E83" s="535"/>
      <c r="F83" s="552" t="s">
        <v>349</v>
      </c>
      <c r="G83" s="553">
        <v>0.4</v>
      </c>
      <c r="H83" s="562">
        <v>5000</v>
      </c>
      <c r="I83" s="551"/>
      <c r="J83" s="528"/>
      <c r="K83" s="528"/>
      <c r="L83" s="529"/>
      <c r="M83" s="530"/>
      <c r="N83" s="530"/>
      <c r="O83" s="528"/>
      <c r="P83" s="528"/>
      <c r="Q83" s="528"/>
      <c r="R83" s="527"/>
      <c r="S83" s="527"/>
      <c r="T83" s="527"/>
      <c r="U83" s="527"/>
      <c r="V83" s="528"/>
      <c r="W83" s="528"/>
      <c r="X83" s="528"/>
      <c r="Y83" s="528"/>
      <c r="Z83" s="528"/>
      <c r="AA83" s="528"/>
      <c r="AB83" s="528"/>
      <c r="AC83" s="528"/>
      <c r="AD83" s="528"/>
      <c r="AE83" s="528"/>
      <c r="AF83" s="528"/>
      <c r="AG83" s="528"/>
      <c r="AH83" s="528"/>
      <c r="AI83" s="528"/>
      <c r="AJ83" s="528"/>
      <c r="AK83" s="528"/>
      <c r="AL83" s="528"/>
      <c r="AM83" s="528"/>
      <c r="AN83" s="528"/>
      <c r="AO83" s="528"/>
      <c r="AP83" s="528"/>
      <c r="AQ83" s="528"/>
      <c r="AR83" s="528"/>
      <c r="AS83" s="528"/>
      <c r="AT83" s="528"/>
      <c r="AU83" s="528"/>
      <c r="AV83" s="528"/>
      <c r="AW83" s="528"/>
      <c r="AX83" s="528"/>
      <c r="AY83" s="528"/>
      <c r="AZ83" s="528"/>
      <c r="BA83" s="528"/>
      <c r="BB83" s="528"/>
      <c r="BC83" s="528"/>
      <c r="BD83" s="528"/>
      <c r="BE83" s="528"/>
      <c r="BF83" s="528"/>
      <c r="BG83" s="528"/>
      <c r="BH83" s="528"/>
      <c r="BI83" s="528"/>
      <c r="BJ83" s="528"/>
      <c r="BK83" s="528"/>
      <c r="BL83" s="528"/>
      <c r="BM83" s="528"/>
      <c r="BN83" s="528"/>
      <c r="BO83" s="528"/>
      <c r="BP83" s="528"/>
      <c r="BQ83" s="528"/>
      <c r="BR83" s="528"/>
      <c r="BS83" s="528"/>
      <c r="BT83" s="528"/>
      <c r="BU83" s="528"/>
      <c r="BV83" s="528"/>
      <c r="BW83" s="528"/>
      <c r="BX83" s="528"/>
      <c r="BY83" s="528"/>
      <c r="BZ83" s="528"/>
      <c r="CA83" s="528"/>
      <c r="CB83" s="528"/>
      <c r="CC83" s="528"/>
      <c r="CD83" s="528"/>
      <c r="CE83" s="528"/>
      <c r="CF83" s="528"/>
      <c r="CG83" s="528"/>
      <c r="CH83" s="528"/>
      <c r="CI83" s="528"/>
      <c r="CJ83" s="528"/>
      <c r="CK83" s="528"/>
      <c r="CL83" s="528"/>
      <c r="CM83" s="528"/>
      <c r="CN83" s="528"/>
      <c r="CO83" s="528"/>
      <c r="CP83" s="528"/>
      <c r="CQ83" s="528"/>
      <c r="CR83" s="528"/>
      <c r="CS83" s="528"/>
      <c r="CT83" s="528"/>
      <c r="CU83" s="528"/>
      <c r="CV83" s="528"/>
      <c r="CW83" s="528"/>
      <c r="CX83" s="528"/>
      <c r="CY83" s="528"/>
      <c r="CZ83" s="528"/>
      <c r="DA83" s="528"/>
      <c r="DB83" s="528"/>
      <c r="DC83" s="528"/>
      <c r="DD83" s="528"/>
      <c r="DE83" s="528"/>
      <c r="DF83" s="528"/>
    </row>
    <row r="84" spans="1:110" s="534" customFormat="1" ht="27.5" outlineLevel="1" thickBot="1">
      <c r="A84" s="527"/>
      <c r="B84" s="527"/>
      <c r="C84" s="527"/>
      <c r="D84" s="527"/>
      <c r="E84" s="535"/>
      <c r="F84" s="552" t="s">
        <v>350</v>
      </c>
      <c r="G84" s="553">
        <v>0.5</v>
      </c>
      <c r="H84" s="562">
        <v>5000</v>
      </c>
      <c r="I84" s="551"/>
      <c r="J84" s="528"/>
      <c r="K84" s="528"/>
      <c r="L84" s="529"/>
      <c r="M84" s="530"/>
      <c r="N84" s="530"/>
      <c r="O84" s="528"/>
      <c r="P84" s="528"/>
      <c r="Q84" s="528"/>
      <c r="R84" s="527"/>
      <c r="S84" s="527"/>
      <c r="T84" s="527"/>
      <c r="U84" s="527"/>
      <c r="V84" s="528"/>
      <c r="W84" s="528"/>
      <c r="X84" s="528"/>
      <c r="Y84" s="528"/>
      <c r="Z84" s="528"/>
      <c r="AA84" s="528"/>
      <c r="AB84" s="528"/>
      <c r="AC84" s="528"/>
      <c r="AD84" s="528"/>
      <c r="AE84" s="528"/>
      <c r="AF84" s="528"/>
      <c r="AG84" s="528"/>
      <c r="AH84" s="528"/>
      <c r="AI84" s="528"/>
      <c r="AJ84" s="528"/>
      <c r="AK84" s="528"/>
      <c r="AL84" s="528"/>
      <c r="AM84" s="528"/>
      <c r="AN84" s="528"/>
      <c r="AO84" s="528"/>
      <c r="AP84" s="528"/>
      <c r="AQ84" s="528"/>
      <c r="AR84" s="528"/>
      <c r="AS84" s="528"/>
      <c r="AT84" s="528"/>
      <c r="AU84" s="528"/>
      <c r="AV84" s="528"/>
      <c r="AW84" s="528"/>
      <c r="AX84" s="528"/>
      <c r="AY84" s="528"/>
      <c r="AZ84" s="528"/>
      <c r="BA84" s="528"/>
      <c r="BB84" s="528"/>
      <c r="BC84" s="528"/>
      <c r="BD84" s="528"/>
      <c r="BE84" s="528"/>
      <c r="BF84" s="528"/>
      <c r="BG84" s="528"/>
      <c r="BH84" s="528"/>
      <c r="BI84" s="528"/>
      <c r="BJ84" s="528"/>
      <c r="BK84" s="528"/>
      <c r="BL84" s="528"/>
      <c r="BM84" s="528"/>
      <c r="BN84" s="528"/>
      <c r="BO84" s="528"/>
      <c r="BP84" s="528"/>
      <c r="BQ84" s="528"/>
      <c r="BR84" s="528"/>
      <c r="BS84" s="528"/>
      <c r="BT84" s="528"/>
      <c r="BU84" s="528"/>
      <c r="BV84" s="528"/>
      <c r="BW84" s="528"/>
      <c r="BX84" s="528"/>
      <c r="BY84" s="528"/>
      <c r="BZ84" s="528"/>
      <c r="CA84" s="528"/>
      <c r="CB84" s="528"/>
      <c r="CC84" s="528"/>
      <c r="CD84" s="528"/>
      <c r="CE84" s="528"/>
      <c r="CF84" s="528"/>
      <c r="CG84" s="528"/>
      <c r="CH84" s="528"/>
      <c r="CI84" s="528"/>
      <c r="CJ84" s="528"/>
      <c r="CK84" s="528"/>
      <c r="CL84" s="528"/>
      <c r="CM84" s="528"/>
      <c r="CN84" s="528"/>
      <c r="CO84" s="528"/>
      <c r="CP84" s="528"/>
      <c r="CQ84" s="528"/>
      <c r="CR84" s="528"/>
      <c r="CS84" s="528"/>
      <c r="CT84" s="528"/>
      <c r="CU84" s="528"/>
      <c r="CV84" s="528"/>
      <c r="CW84" s="528"/>
      <c r="CX84" s="528"/>
      <c r="CY84" s="528"/>
      <c r="CZ84" s="528"/>
      <c r="DA84" s="528"/>
      <c r="DB84" s="528"/>
      <c r="DC84" s="528"/>
      <c r="DD84" s="528"/>
      <c r="DE84" s="528"/>
      <c r="DF84" s="528"/>
    </row>
    <row r="85" spans="1:110" s="534" customFormat="1" ht="27.5" outlineLevel="1" thickBot="1">
      <c r="A85" s="527"/>
      <c r="B85" s="527"/>
      <c r="C85" s="527"/>
      <c r="D85" s="527"/>
      <c r="E85" s="535"/>
      <c r="F85" s="552" t="s">
        <v>351</v>
      </c>
      <c r="G85" s="553">
        <v>0.5</v>
      </c>
      <c r="H85" s="562">
        <v>5000</v>
      </c>
      <c r="I85" s="551"/>
      <c r="J85" s="528"/>
      <c r="K85" s="528"/>
      <c r="L85" s="529"/>
      <c r="M85" s="530"/>
      <c r="N85" s="530"/>
      <c r="O85" s="528"/>
      <c r="P85" s="528"/>
      <c r="Q85" s="528"/>
      <c r="R85" s="527"/>
      <c r="S85" s="527"/>
      <c r="T85" s="527"/>
      <c r="U85" s="527"/>
      <c r="V85" s="528"/>
      <c r="W85" s="528"/>
      <c r="X85" s="528"/>
      <c r="Y85" s="528"/>
      <c r="Z85" s="528"/>
      <c r="AA85" s="528"/>
      <c r="AB85" s="528"/>
      <c r="AC85" s="528"/>
      <c r="AD85" s="528"/>
      <c r="AE85" s="528"/>
      <c r="AF85" s="528"/>
      <c r="AG85" s="528"/>
      <c r="AH85" s="528"/>
      <c r="AI85" s="528"/>
      <c r="AJ85" s="528"/>
      <c r="AK85" s="528"/>
      <c r="AL85" s="528"/>
      <c r="AM85" s="528"/>
      <c r="AN85" s="528"/>
      <c r="AO85" s="528"/>
      <c r="AP85" s="528"/>
      <c r="AQ85" s="528"/>
      <c r="AR85" s="528"/>
      <c r="AS85" s="528"/>
      <c r="AT85" s="528"/>
      <c r="AU85" s="528"/>
      <c r="AV85" s="528"/>
      <c r="AW85" s="528"/>
      <c r="AX85" s="528"/>
      <c r="AY85" s="528"/>
      <c r="AZ85" s="528"/>
      <c r="BA85" s="528"/>
      <c r="BB85" s="528"/>
      <c r="BC85" s="528"/>
      <c r="BD85" s="528"/>
      <c r="BE85" s="528"/>
      <c r="BF85" s="528"/>
      <c r="BG85" s="528"/>
      <c r="BH85" s="528"/>
      <c r="BI85" s="528"/>
      <c r="BJ85" s="528"/>
      <c r="BK85" s="528"/>
      <c r="BL85" s="528"/>
      <c r="BM85" s="528"/>
      <c r="BN85" s="528"/>
      <c r="BO85" s="528"/>
      <c r="BP85" s="528"/>
      <c r="BQ85" s="528"/>
      <c r="BR85" s="528"/>
      <c r="BS85" s="528"/>
      <c r="BT85" s="528"/>
      <c r="BU85" s="528"/>
      <c r="BV85" s="528"/>
      <c r="BW85" s="528"/>
      <c r="BX85" s="528"/>
      <c r="BY85" s="528"/>
      <c r="BZ85" s="528"/>
      <c r="CA85" s="528"/>
      <c r="CB85" s="528"/>
      <c r="CC85" s="528"/>
      <c r="CD85" s="528"/>
      <c r="CE85" s="528"/>
      <c r="CF85" s="528"/>
      <c r="CG85" s="528"/>
      <c r="CH85" s="528"/>
      <c r="CI85" s="528"/>
      <c r="CJ85" s="528"/>
      <c r="CK85" s="528"/>
      <c r="CL85" s="528"/>
      <c r="CM85" s="528"/>
      <c r="CN85" s="528"/>
      <c r="CO85" s="528"/>
      <c r="CP85" s="528"/>
      <c r="CQ85" s="528"/>
      <c r="CR85" s="528"/>
      <c r="CS85" s="528"/>
      <c r="CT85" s="528"/>
      <c r="CU85" s="528"/>
      <c r="CV85" s="528"/>
      <c r="CW85" s="528"/>
      <c r="CX85" s="528"/>
      <c r="CY85" s="528"/>
      <c r="CZ85" s="528"/>
      <c r="DA85" s="528"/>
      <c r="DB85" s="528"/>
      <c r="DC85" s="528"/>
      <c r="DD85" s="528"/>
      <c r="DE85" s="528"/>
      <c r="DF85" s="528"/>
    </row>
    <row r="86" spans="1:110" s="534" customFormat="1" ht="27.5" outlineLevel="1" thickBot="1">
      <c r="A86" s="527"/>
      <c r="B86" s="527"/>
      <c r="C86" s="527"/>
      <c r="D86" s="527"/>
      <c r="E86" s="535"/>
      <c r="F86" s="552" t="s">
        <v>352</v>
      </c>
      <c r="G86" s="553">
        <v>0.6</v>
      </c>
      <c r="H86" s="563">
        <v>5000</v>
      </c>
      <c r="I86" s="551"/>
      <c r="J86" s="528"/>
      <c r="K86" s="528"/>
      <c r="L86" s="529"/>
      <c r="M86" s="530"/>
      <c r="N86" s="530"/>
      <c r="O86" s="528"/>
      <c r="P86" s="528"/>
      <c r="Q86" s="528"/>
      <c r="R86" s="527"/>
      <c r="S86" s="527"/>
      <c r="T86" s="527"/>
      <c r="U86" s="527"/>
      <c r="V86" s="528"/>
      <c r="W86" s="528"/>
      <c r="X86" s="528"/>
      <c r="Y86" s="528"/>
      <c r="Z86" s="528"/>
      <c r="AA86" s="528"/>
      <c r="AB86" s="528"/>
      <c r="AC86" s="528"/>
      <c r="AD86" s="528"/>
      <c r="AE86" s="528"/>
      <c r="AF86" s="528"/>
      <c r="AG86" s="528"/>
      <c r="AH86" s="528"/>
      <c r="AI86" s="528"/>
      <c r="AJ86" s="528"/>
      <c r="AK86" s="528"/>
      <c r="AL86" s="528"/>
      <c r="AM86" s="528"/>
      <c r="AN86" s="528"/>
      <c r="AO86" s="528"/>
      <c r="AP86" s="528"/>
      <c r="AQ86" s="528"/>
      <c r="AR86" s="528"/>
      <c r="AS86" s="528"/>
      <c r="AT86" s="528"/>
      <c r="AU86" s="528"/>
      <c r="AV86" s="528"/>
      <c r="AW86" s="528"/>
      <c r="AX86" s="528"/>
      <c r="AY86" s="528"/>
      <c r="AZ86" s="528"/>
      <c r="BA86" s="528"/>
      <c r="BB86" s="528"/>
      <c r="BC86" s="528"/>
      <c r="BD86" s="528"/>
      <c r="BE86" s="528"/>
      <c r="BF86" s="528"/>
      <c r="BG86" s="528"/>
      <c r="BH86" s="528"/>
      <c r="BI86" s="528"/>
      <c r="BJ86" s="528"/>
      <c r="BK86" s="528"/>
      <c r="BL86" s="528"/>
      <c r="BM86" s="528"/>
      <c r="BN86" s="528"/>
      <c r="BO86" s="528"/>
      <c r="BP86" s="528"/>
      <c r="BQ86" s="528"/>
      <c r="BR86" s="528"/>
      <c r="BS86" s="528"/>
      <c r="BT86" s="528"/>
      <c r="BU86" s="528"/>
      <c r="BV86" s="528"/>
      <c r="BW86" s="528"/>
      <c r="BX86" s="528"/>
      <c r="BY86" s="528"/>
      <c r="BZ86" s="528"/>
      <c r="CA86" s="528"/>
      <c r="CB86" s="528"/>
      <c r="CC86" s="528"/>
      <c r="CD86" s="528"/>
      <c r="CE86" s="528"/>
      <c r="CF86" s="528"/>
      <c r="CG86" s="528"/>
      <c r="CH86" s="528"/>
      <c r="CI86" s="528"/>
      <c r="CJ86" s="528"/>
      <c r="CK86" s="528"/>
      <c r="CL86" s="528"/>
      <c r="CM86" s="528"/>
      <c r="CN86" s="528"/>
      <c r="CO86" s="528"/>
      <c r="CP86" s="528"/>
      <c r="CQ86" s="528"/>
      <c r="CR86" s="528"/>
      <c r="CS86" s="528"/>
      <c r="CT86" s="528"/>
      <c r="CU86" s="528"/>
      <c r="CV86" s="528"/>
      <c r="CW86" s="528"/>
      <c r="CX86" s="528"/>
      <c r="CY86" s="528"/>
      <c r="CZ86" s="528"/>
      <c r="DA86" s="528"/>
      <c r="DB86" s="528"/>
      <c r="DC86" s="528"/>
      <c r="DD86" s="528"/>
      <c r="DE86" s="528"/>
      <c r="DF86" s="528"/>
    </row>
    <row r="87" spans="1:110" s="534" customFormat="1" ht="27.5" outlineLevel="1" thickBot="1">
      <c r="A87" s="527"/>
      <c r="B87" s="527"/>
      <c r="C87" s="527"/>
      <c r="D87" s="527"/>
      <c r="E87" s="535"/>
      <c r="F87" s="527"/>
      <c r="G87" s="527"/>
      <c r="H87" s="527"/>
      <c r="I87" s="551"/>
      <c r="J87" s="528"/>
      <c r="K87" s="528"/>
      <c r="L87" s="529"/>
      <c r="M87" s="530"/>
      <c r="N87" s="530"/>
      <c r="O87" s="528"/>
      <c r="P87" s="528"/>
      <c r="Q87" s="528"/>
      <c r="R87" s="527"/>
      <c r="S87" s="527"/>
      <c r="T87" s="527"/>
      <c r="U87" s="527"/>
      <c r="V87" s="528"/>
      <c r="W87" s="528"/>
      <c r="X87" s="528"/>
      <c r="Y87" s="528"/>
      <c r="Z87" s="528"/>
      <c r="AA87" s="528"/>
      <c r="AB87" s="528"/>
      <c r="AC87" s="528"/>
      <c r="AD87" s="528"/>
      <c r="AE87" s="528"/>
      <c r="AF87" s="528"/>
      <c r="AG87" s="528"/>
      <c r="AH87" s="528"/>
      <c r="AI87" s="528"/>
      <c r="AJ87" s="528"/>
      <c r="AK87" s="528"/>
      <c r="AL87" s="528"/>
      <c r="AM87" s="528"/>
      <c r="AN87" s="528"/>
      <c r="AO87" s="528"/>
      <c r="AP87" s="528"/>
      <c r="AQ87" s="528"/>
      <c r="AR87" s="528"/>
      <c r="AS87" s="528"/>
      <c r="AT87" s="528"/>
      <c r="AU87" s="528"/>
      <c r="AV87" s="528"/>
      <c r="AW87" s="528"/>
      <c r="AX87" s="528"/>
      <c r="AY87" s="528"/>
      <c r="AZ87" s="528"/>
      <c r="BA87" s="528"/>
      <c r="BB87" s="528"/>
      <c r="BC87" s="528"/>
      <c r="BD87" s="528"/>
      <c r="BE87" s="528"/>
      <c r="BF87" s="528"/>
      <c r="BG87" s="528"/>
      <c r="BH87" s="528"/>
      <c r="BI87" s="528"/>
      <c r="BJ87" s="528"/>
      <c r="BK87" s="528"/>
      <c r="BL87" s="528"/>
      <c r="BM87" s="528"/>
      <c r="BN87" s="528"/>
      <c r="BO87" s="528"/>
      <c r="BP87" s="528"/>
      <c r="BQ87" s="528"/>
      <c r="BR87" s="528"/>
      <c r="BS87" s="528"/>
      <c r="BT87" s="528"/>
      <c r="BU87" s="528"/>
      <c r="BV87" s="528"/>
      <c r="BW87" s="528"/>
      <c r="BX87" s="528"/>
      <c r="BY87" s="528"/>
      <c r="BZ87" s="528"/>
      <c r="CA87" s="528"/>
      <c r="CB87" s="528"/>
      <c r="CC87" s="528"/>
      <c r="CD87" s="528"/>
      <c r="CE87" s="528"/>
      <c r="CF87" s="528"/>
      <c r="CG87" s="528"/>
      <c r="CH87" s="528"/>
      <c r="CI87" s="528"/>
      <c r="CJ87" s="528"/>
      <c r="CK87" s="528"/>
      <c r="CL87" s="528"/>
      <c r="CM87" s="528"/>
      <c r="CN87" s="528"/>
      <c r="CO87" s="528"/>
      <c r="CP87" s="528"/>
      <c r="CQ87" s="528"/>
      <c r="CR87" s="528"/>
      <c r="CS87" s="528"/>
      <c r="CT87" s="528"/>
      <c r="CU87" s="528"/>
      <c r="CV87" s="528"/>
      <c r="CW87" s="528"/>
      <c r="CX87" s="528"/>
      <c r="CY87" s="528"/>
      <c r="CZ87" s="528"/>
      <c r="DA87" s="528"/>
      <c r="DB87" s="528"/>
      <c r="DC87" s="528"/>
      <c r="DD87" s="528"/>
      <c r="DE87" s="528"/>
      <c r="DF87" s="528"/>
    </row>
    <row r="88" spans="1:110" s="534" customFormat="1" ht="27.5" outlineLevel="1" thickBot="1">
      <c r="A88" s="527"/>
      <c r="B88" s="527"/>
      <c r="C88" s="527"/>
      <c r="D88" s="527"/>
      <c r="E88" s="535"/>
      <c r="F88" s="642" t="s">
        <v>354</v>
      </c>
      <c r="G88" s="643"/>
      <c r="H88" s="527"/>
      <c r="I88" s="551"/>
      <c r="J88" s="528"/>
      <c r="K88" s="528"/>
      <c r="L88" s="529"/>
      <c r="M88" s="530"/>
      <c r="N88" s="530"/>
      <c r="O88" s="528"/>
      <c r="P88" s="528"/>
      <c r="Q88" s="528"/>
      <c r="R88" s="527"/>
      <c r="S88" s="527"/>
      <c r="T88" s="527"/>
      <c r="U88" s="527"/>
      <c r="V88" s="528"/>
      <c r="W88" s="528"/>
      <c r="X88" s="528"/>
      <c r="Y88" s="528"/>
      <c r="Z88" s="528"/>
      <c r="AA88" s="528"/>
      <c r="AB88" s="528"/>
      <c r="AC88" s="528"/>
      <c r="AD88" s="528"/>
      <c r="AE88" s="528"/>
      <c r="AF88" s="528"/>
      <c r="AG88" s="528"/>
      <c r="AH88" s="528"/>
      <c r="AI88" s="528"/>
      <c r="AJ88" s="528"/>
      <c r="AK88" s="528"/>
      <c r="AL88" s="528"/>
      <c r="AM88" s="528"/>
      <c r="AN88" s="528"/>
      <c r="AO88" s="528"/>
      <c r="AP88" s="528"/>
      <c r="AQ88" s="528"/>
      <c r="AR88" s="528"/>
      <c r="AS88" s="528"/>
      <c r="AT88" s="528"/>
      <c r="AU88" s="528"/>
      <c r="AV88" s="528"/>
      <c r="AW88" s="528"/>
      <c r="AX88" s="528"/>
      <c r="AY88" s="528"/>
      <c r="AZ88" s="528"/>
      <c r="BA88" s="528"/>
      <c r="BB88" s="528"/>
      <c r="BC88" s="528"/>
      <c r="BD88" s="528"/>
      <c r="BE88" s="528"/>
      <c r="BF88" s="528"/>
      <c r="BG88" s="528"/>
      <c r="BH88" s="528"/>
      <c r="BI88" s="528"/>
      <c r="BJ88" s="528"/>
      <c r="BK88" s="528"/>
      <c r="BL88" s="528"/>
      <c r="BM88" s="528"/>
      <c r="BN88" s="528"/>
      <c r="BO88" s="528"/>
      <c r="BP88" s="528"/>
      <c r="BQ88" s="528"/>
      <c r="BR88" s="528"/>
      <c r="BS88" s="528"/>
      <c r="BT88" s="528"/>
      <c r="BU88" s="528"/>
      <c r="BV88" s="528"/>
      <c r="BW88" s="528"/>
      <c r="BX88" s="528"/>
      <c r="BY88" s="528"/>
      <c r="BZ88" s="528"/>
      <c r="CA88" s="528"/>
      <c r="CB88" s="528"/>
      <c r="CC88" s="528"/>
      <c r="CD88" s="528"/>
      <c r="CE88" s="528"/>
      <c r="CF88" s="528"/>
      <c r="CG88" s="528"/>
      <c r="CH88" s="528"/>
      <c r="CI88" s="528"/>
      <c r="CJ88" s="528"/>
      <c r="CK88" s="528"/>
      <c r="CL88" s="528"/>
      <c r="CM88" s="528"/>
      <c r="CN88" s="528"/>
      <c r="CO88" s="528"/>
      <c r="CP88" s="528"/>
      <c r="CQ88" s="528"/>
      <c r="CR88" s="528"/>
      <c r="CS88" s="528"/>
      <c r="CT88" s="528"/>
      <c r="CU88" s="528"/>
      <c r="CV88" s="528"/>
      <c r="CW88" s="528"/>
      <c r="CX88" s="528"/>
      <c r="CY88" s="528"/>
      <c r="CZ88" s="528"/>
      <c r="DA88" s="528"/>
      <c r="DB88" s="528"/>
      <c r="DC88" s="528"/>
      <c r="DD88" s="528"/>
      <c r="DE88" s="528"/>
      <c r="DF88" s="528"/>
    </row>
    <row r="89" spans="1:110" s="534" customFormat="1" ht="27.5" outlineLevel="1" thickBot="1">
      <c r="A89" s="527"/>
      <c r="B89" s="527"/>
      <c r="C89" s="527"/>
      <c r="D89" s="527"/>
      <c r="E89" s="535"/>
      <c r="F89" s="552" t="s">
        <v>348</v>
      </c>
      <c r="G89" s="553">
        <v>0.4</v>
      </c>
      <c r="H89" s="527"/>
      <c r="I89" s="551"/>
      <c r="J89" s="528"/>
      <c r="K89" s="528"/>
      <c r="L89" s="529"/>
      <c r="M89" s="530"/>
      <c r="N89" s="530"/>
      <c r="O89" s="528"/>
      <c r="P89" s="528"/>
      <c r="Q89" s="528"/>
      <c r="R89" s="527"/>
      <c r="S89" s="527"/>
      <c r="T89" s="527"/>
      <c r="U89" s="527"/>
      <c r="V89" s="528"/>
      <c r="W89" s="528"/>
      <c r="X89" s="528"/>
      <c r="Y89" s="528"/>
      <c r="Z89" s="528"/>
      <c r="AA89" s="528"/>
      <c r="AB89" s="528"/>
      <c r="AC89" s="528"/>
      <c r="AD89" s="528"/>
      <c r="AE89" s="528"/>
      <c r="AF89" s="528"/>
      <c r="AG89" s="528"/>
      <c r="AH89" s="528"/>
      <c r="AI89" s="528"/>
      <c r="AJ89" s="528"/>
      <c r="AK89" s="528"/>
      <c r="AL89" s="528"/>
      <c r="AM89" s="528"/>
      <c r="AN89" s="528"/>
      <c r="AO89" s="528"/>
      <c r="AP89" s="528"/>
      <c r="AQ89" s="528"/>
      <c r="AR89" s="528"/>
      <c r="AS89" s="528"/>
      <c r="AT89" s="528"/>
      <c r="AU89" s="528"/>
      <c r="AV89" s="528"/>
      <c r="AW89" s="528"/>
      <c r="AX89" s="528"/>
      <c r="AY89" s="528"/>
      <c r="AZ89" s="528"/>
      <c r="BA89" s="528"/>
      <c r="BB89" s="528"/>
      <c r="BC89" s="528"/>
      <c r="BD89" s="528"/>
      <c r="BE89" s="528"/>
      <c r="BF89" s="528"/>
      <c r="BG89" s="528"/>
      <c r="BH89" s="528"/>
      <c r="BI89" s="528"/>
      <c r="BJ89" s="528"/>
      <c r="BK89" s="528"/>
      <c r="BL89" s="528"/>
      <c r="BM89" s="528"/>
      <c r="BN89" s="528"/>
      <c r="BO89" s="528"/>
      <c r="BP89" s="528"/>
      <c r="BQ89" s="528"/>
      <c r="BR89" s="528"/>
      <c r="BS89" s="528"/>
      <c r="BT89" s="528"/>
      <c r="BU89" s="528"/>
      <c r="BV89" s="528"/>
      <c r="BW89" s="528"/>
      <c r="BX89" s="528"/>
      <c r="BY89" s="528"/>
      <c r="BZ89" s="528"/>
      <c r="CA89" s="528"/>
      <c r="CB89" s="528"/>
      <c r="CC89" s="528"/>
      <c r="CD89" s="528"/>
      <c r="CE89" s="528"/>
      <c r="CF89" s="528"/>
      <c r="CG89" s="528"/>
      <c r="CH89" s="528"/>
      <c r="CI89" s="528"/>
      <c r="CJ89" s="528"/>
      <c r="CK89" s="528"/>
      <c r="CL89" s="528"/>
      <c r="CM89" s="528"/>
      <c r="CN89" s="528"/>
      <c r="CO89" s="528"/>
      <c r="CP89" s="528"/>
      <c r="CQ89" s="528"/>
      <c r="CR89" s="528"/>
      <c r="CS89" s="528"/>
      <c r="CT89" s="528"/>
      <c r="CU89" s="528"/>
      <c r="CV89" s="528"/>
      <c r="CW89" s="528"/>
      <c r="CX89" s="528"/>
      <c r="CY89" s="528"/>
      <c r="CZ89" s="528"/>
      <c r="DA89" s="528"/>
      <c r="DB89" s="528"/>
      <c r="DC89" s="528"/>
      <c r="DD89" s="528"/>
      <c r="DE89" s="528"/>
      <c r="DF89" s="528"/>
    </row>
    <row r="90" spans="1:110" s="534" customFormat="1" ht="27.5" outlineLevel="1" thickBot="1">
      <c r="A90" s="527"/>
      <c r="B90" s="527"/>
      <c r="C90" s="527"/>
      <c r="D90" s="527"/>
      <c r="E90" s="535"/>
      <c r="F90" s="552" t="s">
        <v>349</v>
      </c>
      <c r="G90" s="553">
        <v>0.5</v>
      </c>
      <c r="H90" s="527"/>
      <c r="I90" s="551"/>
      <c r="J90" s="528"/>
      <c r="K90" s="528"/>
      <c r="L90" s="529"/>
      <c r="M90" s="530"/>
      <c r="N90" s="530"/>
      <c r="O90" s="528"/>
      <c r="P90" s="528"/>
      <c r="Q90" s="528"/>
      <c r="R90" s="527"/>
      <c r="S90" s="527"/>
      <c r="T90" s="527"/>
      <c r="U90" s="527"/>
      <c r="V90" s="528"/>
      <c r="W90" s="528"/>
      <c r="X90" s="528"/>
      <c r="Y90" s="528"/>
      <c r="Z90" s="528"/>
      <c r="AA90" s="528"/>
      <c r="AB90" s="528"/>
      <c r="AC90" s="528"/>
      <c r="AD90" s="528"/>
      <c r="AE90" s="528"/>
      <c r="AF90" s="528"/>
      <c r="AG90" s="528"/>
      <c r="AH90" s="528"/>
      <c r="AI90" s="528"/>
      <c r="AJ90" s="528"/>
      <c r="AK90" s="528"/>
      <c r="AL90" s="528"/>
      <c r="AM90" s="528"/>
      <c r="AN90" s="528"/>
      <c r="AO90" s="528"/>
      <c r="AP90" s="528"/>
      <c r="AQ90" s="528"/>
      <c r="AR90" s="528"/>
      <c r="AS90" s="528"/>
      <c r="AT90" s="528"/>
      <c r="AU90" s="528"/>
      <c r="AV90" s="528"/>
      <c r="AW90" s="528"/>
      <c r="AX90" s="528"/>
      <c r="AY90" s="528"/>
      <c r="AZ90" s="528"/>
      <c r="BA90" s="528"/>
      <c r="BB90" s="528"/>
      <c r="BC90" s="528"/>
      <c r="BD90" s="528"/>
      <c r="BE90" s="528"/>
      <c r="BF90" s="528"/>
      <c r="BG90" s="528"/>
      <c r="BH90" s="528"/>
      <c r="BI90" s="528"/>
      <c r="BJ90" s="528"/>
      <c r="BK90" s="528"/>
      <c r="BL90" s="528"/>
      <c r="BM90" s="528"/>
      <c r="BN90" s="528"/>
      <c r="BO90" s="528"/>
      <c r="BP90" s="528"/>
      <c r="BQ90" s="528"/>
      <c r="BR90" s="528"/>
      <c r="BS90" s="528"/>
      <c r="BT90" s="528"/>
      <c r="BU90" s="528"/>
      <c r="BV90" s="528"/>
      <c r="BW90" s="528"/>
      <c r="BX90" s="528"/>
      <c r="BY90" s="528"/>
      <c r="BZ90" s="528"/>
      <c r="CA90" s="528"/>
      <c r="CB90" s="528"/>
      <c r="CC90" s="528"/>
      <c r="CD90" s="528"/>
      <c r="CE90" s="528"/>
      <c r="CF90" s="528"/>
      <c r="CG90" s="528"/>
      <c r="CH90" s="528"/>
      <c r="CI90" s="528"/>
      <c r="CJ90" s="528"/>
      <c r="CK90" s="528"/>
      <c r="CL90" s="528"/>
      <c r="CM90" s="528"/>
      <c r="CN90" s="528"/>
      <c r="CO90" s="528"/>
      <c r="CP90" s="528"/>
      <c r="CQ90" s="528"/>
      <c r="CR90" s="528"/>
      <c r="CS90" s="528"/>
      <c r="CT90" s="528"/>
      <c r="CU90" s="528"/>
      <c r="CV90" s="528"/>
      <c r="CW90" s="528"/>
      <c r="CX90" s="528"/>
      <c r="CY90" s="528"/>
      <c r="CZ90" s="528"/>
      <c r="DA90" s="528"/>
      <c r="DB90" s="528"/>
      <c r="DC90" s="528"/>
      <c r="DD90" s="528"/>
      <c r="DE90" s="528"/>
      <c r="DF90" s="528"/>
    </row>
    <row r="91" spans="1:110" s="534" customFormat="1" ht="27.5" outlineLevel="1" thickBot="1">
      <c r="A91" s="527"/>
      <c r="B91" s="527"/>
      <c r="C91" s="527"/>
      <c r="D91" s="527"/>
      <c r="E91" s="535"/>
      <c r="F91" s="552" t="s">
        <v>350</v>
      </c>
      <c r="G91" s="553">
        <v>0.6</v>
      </c>
      <c r="H91" s="527"/>
      <c r="I91" s="551"/>
      <c r="J91" s="528"/>
      <c r="K91" s="528"/>
      <c r="L91" s="529"/>
      <c r="M91" s="530"/>
      <c r="N91" s="530"/>
      <c r="O91" s="528"/>
      <c r="P91" s="528"/>
      <c r="Q91" s="528"/>
      <c r="R91" s="527"/>
      <c r="S91" s="527"/>
      <c r="T91" s="527"/>
      <c r="U91" s="527"/>
      <c r="V91" s="528"/>
      <c r="W91" s="528"/>
      <c r="X91" s="528"/>
      <c r="Y91" s="528"/>
      <c r="Z91" s="528"/>
      <c r="AA91" s="528"/>
      <c r="AB91" s="528"/>
      <c r="AC91" s="528"/>
      <c r="AD91" s="528"/>
      <c r="AE91" s="528"/>
      <c r="AF91" s="528"/>
      <c r="AG91" s="528"/>
      <c r="AH91" s="528"/>
      <c r="AI91" s="528"/>
      <c r="AJ91" s="528"/>
      <c r="AK91" s="528"/>
      <c r="AL91" s="528"/>
      <c r="AM91" s="528"/>
      <c r="AN91" s="528"/>
      <c r="AO91" s="528"/>
      <c r="AP91" s="528"/>
      <c r="AQ91" s="528"/>
      <c r="AR91" s="528"/>
      <c r="AS91" s="528"/>
      <c r="AT91" s="528"/>
      <c r="AU91" s="528"/>
      <c r="AV91" s="528"/>
      <c r="AW91" s="528"/>
      <c r="AX91" s="528"/>
      <c r="AY91" s="528"/>
      <c r="AZ91" s="528"/>
      <c r="BA91" s="528"/>
      <c r="BB91" s="528"/>
      <c r="BC91" s="528"/>
      <c r="BD91" s="528"/>
      <c r="BE91" s="528"/>
      <c r="BF91" s="528"/>
      <c r="BG91" s="528"/>
      <c r="BH91" s="528"/>
      <c r="BI91" s="528"/>
      <c r="BJ91" s="528"/>
      <c r="BK91" s="528"/>
      <c r="BL91" s="528"/>
      <c r="BM91" s="528"/>
      <c r="BN91" s="528"/>
      <c r="BO91" s="528"/>
      <c r="BP91" s="528"/>
      <c r="BQ91" s="528"/>
      <c r="BR91" s="528"/>
      <c r="BS91" s="528"/>
      <c r="BT91" s="528"/>
      <c r="BU91" s="528"/>
      <c r="BV91" s="528"/>
      <c r="BW91" s="528"/>
      <c r="BX91" s="528"/>
      <c r="BY91" s="528"/>
      <c r="BZ91" s="528"/>
      <c r="CA91" s="528"/>
      <c r="CB91" s="528"/>
      <c r="CC91" s="528"/>
      <c r="CD91" s="528"/>
      <c r="CE91" s="528"/>
      <c r="CF91" s="528"/>
      <c r="CG91" s="528"/>
      <c r="CH91" s="528"/>
      <c r="CI91" s="528"/>
      <c r="CJ91" s="528"/>
      <c r="CK91" s="528"/>
      <c r="CL91" s="528"/>
      <c r="CM91" s="528"/>
      <c r="CN91" s="528"/>
      <c r="CO91" s="528"/>
      <c r="CP91" s="528"/>
      <c r="CQ91" s="528"/>
      <c r="CR91" s="528"/>
      <c r="CS91" s="528"/>
      <c r="CT91" s="528"/>
      <c r="CU91" s="528"/>
      <c r="CV91" s="528"/>
      <c r="CW91" s="528"/>
      <c r="CX91" s="528"/>
      <c r="CY91" s="528"/>
      <c r="CZ91" s="528"/>
      <c r="DA91" s="528"/>
      <c r="DB91" s="528"/>
      <c r="DC91" s="528"/>
      <c r="DD91" s="528"/>
      <c r="DE91" s="528"/>
      <c r="DF91" s="528"/>
    </row>
    <row r="92" spans="1:110" s="534" customFormat="1" ht="27.5" outlineLevel="1" thickBot="1">
      <c r="A92" s="527"/>
      <c r="B92" s="527"/>
      <c r="C92" s="527"/>
      <c r="D92" s="527"/>
      <c r="E92" s="535"/>
      <c r="F92" s="552" t="s">
        <v>351</v>
      </c>
      <c r="G92" s="553">
        <v>0.6</v>
      </c>
      <c r="H92" s="527"/>
      <c r="I92" s="551"/>
      <c r="J92" s="528"/>
      <c r="K92" s="528"/>
      <c r="L92" s="529"/>
      <c r="M92" s="530"/>
      <c r="N92" s="530"/>
      <c r="O92" s="528"/>
      <c r="P92" s="528"/>
      <c r="Q92" s="528"/>
      <c r="R92" s="527"/>
      <c r="S92" s="527"/>
      <c r="T92" s="527"/>
      <c r="U92" s="527"/>
      <c r="V92" s="528"/>
      <c r="W92" s="528"/>
      <c r="X92" s="528"/>
      <c r="Y92" s="528"/>
      <c r="Z92" s="528"/>
      <c r="AA92" s="528"/>
      <c r="AB92" s="528"/>
      <c r="AC92" s="528"/>
      <c r="AD92" s="528"/>
      <c r="AE92" s="528"/>
      <c r="AF92" s="528"/>
      <c r="AG92" s="528"/>
      <c r="AH92" s="528"/>
      <c r="AI92" s="528"/>
      <c r="AJ92" s="528"/>
      <c r="AK92" s="528"/>
      <c r="AL92" s="528"/>
      <c r="AM92" s="528"/>
      <c r="AN92" s="528"/>
      <c r="AO92" s="528"/>
      <c r="AP92" s="528"/>
      <c r="AQ92" s="528"/>
      <c r="AR92" s="528"/>
      <c r="AS92" s="528"/>
      <c r="AT92" s="528"/>
      <c r="AU92" s="528"/>
      <c r="AV92" s="528"/>
      <c r="AW92" s="528"/>
      <c r="AX92" s="528"/>
      <c r="AY92" s="528"/>
      <c r="AZ92" s="528"/>
      <c r="BA92" s="528"/>
      <c r="BB92" s="528"/>
      <c r="BC92" s="528"/>
      <c r="BD92" s="528"/>
      <c r="BE92" s="528"/>
      <c r="BF92" s="528"/>
      <c r="BG92" s="528"/>
      <c r="BH92" s="528"/>
      <c r="BI92" s="528"/>
      <c r="BJ92" s="528"/>
      <c r="BK92" s="528"/>
      <c r="BL92" s="528"/>
      <c r="BM92" s="528"/>
      <c r="BN92" s="528"/>
      <c r="BO92" s="528"/>
      <c r="BP92" s="528"/>
      <c r="BQ92" s="528"/>
      <c r="BR92" s="528"/>
      <c r="BS92" s="528"/>
      <c r="BT92" s="528"/>
      <c r="BU92" s="528"/>
      <c r="BV92" s="528"/>
      <c r="BW92" s="528"/>
      <c r="BX92" s="528"/>
      <c r="BY92" s="528"/>
      <c r="BZ92" s="528"/>
      <c r="CA92" s="528"/>
      <c r="CB92" s="528"/>
      <c r="CC92" s="528"/>
      <c r="CD92" s="528"/>
      <c r="CE92" s="528"/>
      <c r="CF92" s="528"/>
      <c r="CG92" s="528"/>
      <c r="CH92" s="528"/>
      <c r="CI92" s="528"/>
      <c r="CJ92" s="528"/>
      <c r="CK92" s="528"/>
      <c r="CL92" s="528"/>
      <c r="CM92" s="528"/>
      <c r="CN92" s="528"/>
      <c r="CO92" s="528"/>
      <c r="CP92" s="528"/>
      <c r="CQ92" s="528"/>
      <c r="CR92" s="528"/>
      <c r="CS92" s="528"/>
      <c r="CT92" s="528"/>
      <c r="CU92" s="528"/>
      <c r="CV92" s="528"/>
      <c r="CW92" s="528"/>
      <c r="CX92" s="528"/>
      <c r="CY92" s="528"/>
      <c r="CZ92" s="528"/>
      <c r="DA92" s="528"/>
      <c r="DB92" s="528"/>
      <c r="DC92" s="528"/>
      <c r="DD92" s="528"/>
      <c r="DE92" s="528"/>
      <c r="DF92" s="528"/>
    </row>
    <row r="93" spans="1:110" s="534" customFormat="1" ht="27.5" outlineLevel="1" thickBot="1">
      <c r="A93" s="527"/>
      <c r="B93" s="527"/>
      <c r="C93" s="527"/>
      <c r="D93" s="527"/>
      <c r="E93" s="535"/>
      <c r="F93" s="552" t="s">
        <v>352</v>
      </c>
      <c r="G93" s="553">
        <v>0.7</v>
      </c>
      <c r="H93" s="527"/>
      <c r="I93" s="551"/>
      <c r="J93" s="528"/>
      <c r="K93" s="528"/>
      <c r="L93" s="529"/>
      <c r="M93" s="530"/>
      <c r="N93" s="530"/>
      <c r="O93" s="528"/>
      <c r="P93" s="528"/>
      <c r="Q93" s="528"/>
      <c r="R93" s="527"/>
      <c r="S93" s="527"/>
      <c r="T93" s="527"/>
      <c r="U93" s="527"/>
      <c r="V93" s="528"/>
      <c r="W93" s="528"/>
      <c r="X93" s="528"/>
      <c r="Y93" s="528"/>
      <c r="Z93" s="528"/>
      <c r="AA93" s="528"/>
      <c r="AB93" s="528"/>
      <c r="AC93" s="528"/>
      <c r="AD93" s="528"/>
      <c r="AE93" s="528"/>
      <c r="AF93" s="528"/>
      <c r="AG93" s="528"/>
      <c r="AH93" s="528"/>
      <c r="AI93" s="528"/>
      <c r="AJ93" s="528"/>
      <c r="AK93" s="528"/>
      <c r="AL93" s="528"/>
      <c r="AM93" s="528"/>
      <c r="AN93" s="528"/>
      <c r="AO93" s="528"/>
      <c r="AP93" s="528"/>
      <c r="AQ93" s="528"/>
      <c r="AR93" s="528"/>
      <c r="AS93" s="528"/>
      <c r="AT93" s="528"/>
      <c r="AU93" s="528"/>
      <c r="AV93" s="528"/>
      <c r="AW93" s="528"/>
      <c r="AX93" s="528"/>
      <c r="AY93" s="528"/>
      <c r="AZ93" s="528"/>
      <c r="BA93" s="528"/>
      <c r="BB93" s="528"/>
      <c r="BC93" s="528"/>
      <c r="BD93" s="528"/>
      <c r="BE93" s="528"/>
      <c r="BF93" s="528"/>
      <c r="BG93" s="528"/>
      <c r="BH93" s="528"/>
      <c r="BI93" s="528"/>
      <c r="BJ93" s="528"/>
      <c r="BK93" s="528"/>
      <c r="BL93" s="528"/>
      <c r="BM93" s="528"/>
      <c r="BN93" s="528"/>
      <c r="BO93" s="528"/>
      <c r="BP93" s="528"/>
      <c r="BQ93" s="528"/>
      <c r="BR93" s="528"/>
      <c r="BS93" s="528"/>
      <c r="BT93" s="528"/>
      <c r="BU93" s="528"/>
      <c r="BV93" s="528"/>
      <c r="BW93" s="528"/>
      <c r="BX93" s="528"/>
      <c r="BY93" s="528"/>
      <c r="BZ93" s="528"/>
      <c r="CA93" s="528"/>
      <c r="CB93" s="528"/>
      <c r="CC93" s="528"/>
      <c r="CD93" s="528"/>
      <c r="CE93" s="528"/>
      <c r="CF93" s="528"/>
      <c r="CG93" s="528"/>
      <c r="CH93" s="528"/>
      <c r="CI93" s="528"/>
      <c r="CJ93" s="528"/>
      <c r="CK93" s="528"/>
      <c r="CL93" s="528"/>
      <c r="CM93" s="528"/>
      <c r="CN93" s="528"/>
      <c r="CO93" s="528"/>
      <c r="CP93" s="528"/>
      <c r="CQ93" s="528"/>
      <c r="CR93" s="528"/>
      <c r="CS93" s="528"/>
      <c r="CT93" s="528"/>
      <c r="CU93" s="528"/>
      <c r="CV93" s="528"/>
      <c r="CW93" s="528"/>
      <c r="CX93" s="528"/>
      <c r="CY93" s="528"/>
      <c r="CZ93" s="528"/>
      <c r="DA93" s="528"/>
      <c r="DB93" s="528"/>
      <c r="DC93" s="528"/>
      <c r="DD93" s="528"/>
      <c r="DE93" s="528"/>
      <c r="DF93" s="528"/>
    </row>
    <row r="94" spans="1:110" s="534" customFormat="1" ht="27" outlineLevel="1">
      <c r="A94" s="527"/>
      <c r="B94" s="527"/>
      <c r="C94" s="527"/>
      <c r="D94" s="527"/>
      <c r="E94" s="535"/>
      <c r="F94" s="527"/>
      <c r="G94" s="527"/>
      <c r="H94" s="527"/>
      <c r="I94" s="551"/>
      <c r="J94" s="528"/>
      <c r="K94" s="528"/>
      <c r="L94" s="529"/>
      <c r="M94" s="530"/>
      <c r="N94" s="530"/>
      <c r="O94" s="528"/>
      <c r="P94" s="528"/>
      <c r="Q94" s="528"/>
      <c r="R94" s="527"/>
      <c r="S94" s="527"/>
      <c r="T94" s="527"/>
      <c r="U94" s="527"/>
      <c r="V94" s="528"/>
      <c r="W94" s="528"/>
      <c r="X94" s="528"/>
      <c r="Y94" s="528"/>
      <c r="Z94" s="528"/>
      <c r="AA94" s="528"/>
      <c r="AB94" s="528"/>
      <c r="AC94" s="528"/>
      <c r="AD94" s="528"/>
      <c r="AE94" s="528"/>
      <c r="AF94" s="528"/>
      <c r="AG94" s="528"/>
      <c r="AH94" s="528"/>
      <c r="AI94" s="528"/>
      <c r="AJ94" s="528"/>
      <c r="AK94" s="528"/>
      <c r="AL94" s="528"/>
      <c r="AM94" s="528"/>
      <c r="AN94" s="528"/>
      <c r="AO94" s="528"/>
      <c r="AP94" s="528"/>
      <c r="AQ94" s="528"/>
      <c r="AR94" s="528"/>
      <c r="AS94" s="528"/>
      <c r="AT94" s="528"/>
      <c r="AU94" s="528"/>
      <c r="AV94" s="528"/>
      <c r="AW94" s="528"/>
      <c r="AX94" s="528"/>
      <c r="AY94" s="528"/>
      <c r="AZ94" s="528"/>
      <c r="BA94" s="528"/>
      <c r="BB94" s="528"/>
      <c r="BC94" s="528"/>
      <c r="BD94" s="528"/>
      <c r="BE94" s="528"/>
      <c r="BF94" s="528"/>
      <c r="BG94" s="528"/>
      <c r="BH94" s="528"/>
      <c r="BI94" s="528"/>
      <c r="BJ94" s="528"/>
      <c r="BK94" s="528"/>
      <c r="BL94" s="528"/>
      <c r="BM94" s="528"/>
      <c r="BN94" s="528"/>
      <c r="BO94" s="528"/>
      <c r="BP94" s="528"/>
      <c r="BQ94" s="528"/>
      <c r="BR94" s="528"/>
      <c r="BS94" s="528"/>
      <c r="BT94" s="528"/>
      <c r="BU94" s="528"/>
      <c r="BV94" s="528"/>
      <c r="BW94" s="528"/>
      <c r="BX94" s="528"/>
      <c r="BY94" s="528"/>
      <c r="BZ94" s="528"/>
      <c r="CA94" s="528"/>
      <c r="CB94" s="528"/>
      <c r="CC94" s="528"/>
      <c r="CD94" s="528"/>
      <c r="CE94" s="528"/>
      <c r="CF94" s="528"/>
      <c r="CG94" s="528"/>
      <c r="CH94" s="528"/>
      <c r="CI94" s="528"/>
      <c r="CJ94" s="528"/>
      <c r="CK94" s="528"/>
      <c r="CL94" s="528"/>
      <c r="CM94" s="528"/>
      <c r="CN94" s="528"/>
      <c r="CO94" s="528"/>
      <c r="CP94" s="528"/>
      <c r="CQ94" s="528"/>
      <c r="CR94" s="528"/>
      <c r="CS94" s="528"/>
      <c r="CT94" s="528"/>
      <c r="CU94" s="528"/>
      <c r="CV94" s="528"/>
      <c r="CW94" s="528"/>
      <c r="CX94" s="528"/>
      <c r="CY94" s="528"/>
      <c r="CZ94" s="528"/>
      <c r="DA94" s="528"/>
      <c r="DB94" s="528"/>
      <c r="DC94" s="528"/>
      <c r="DD94" s="528"/>
      <c r="DE94" s="528"/>
      <c r="DF94" s="528"/>
    </row>
    <row r="95" spans="1:110" s="534" customFormat="1" ht="27.5" outlineLevel="1" thickBot="1">
      <c r="A95" s="527"/>
      <c r="B95" s="527"/>
      <c r="C95" s="527"/>
      <c r="D95" s="527"/>
      <c r="E95" s="535"/>
      <c r="F95" s="527"/>
      <c r="G95" s="527"/>
      <c r="H95" s="527"/>
      <c r="I95" s="551"/>
      <c r="J95" s="528"/>
      <c r="K95" s="528"/>
      <c r="L95" s="529"/>
      <c r="M95" s="530"/>
      <c r="N95" s="530"/>
      <c r="O95" s="528"/>
      <c r="P95" s="528"/>
      <c r="Q95" s="528"/>
      <c r="R95" s="527"/>
      <c r="S95" s="527"/>
      <c r="T95" s="527"/>
      <c r="U95" s="527"/>
      <c r="V95" s="528"/>
      <c r="W95" s="528"/>
      <c r="X95" s="528"/>
      <c r="Y95" s="528"/>
      <c r="Z95" s="528"/>
      <c r="AA95" s="528"/>
      <c r="AB95" s="528"/>
      <c r="AC95" s="528"/>
      <c r="AD95" s="528"/>
      <c r="AE95" s="528"/>
      <c r="AF95" s="528"/>
      <c r="AG95" s="528"/>
      <c r="AH95" s="528"/>
      <c r="AI95" s="528"/>
      <c r="AJ95" s="528"/>
      <c r="AK95" s="528"/>
      <c r="AL95" s="528"/>
      <c r="AM95" s="528"/>
      <c r="AN95" s="528"/>
      <c r="AO95" s="528"/>
      <c r="AP95" s="528"/>
      <c r="AQ95" s="528"/>
      <c r="AR95" s="528"/>
      <c r="AS95" s="528"/>
      <c r="AT95" s="528"/>
      <c r="AU95" s="528"/>
      <c r="AV95" s="528"/>
      <c r="AW95" s="528"/>
      <c r="AX95" s="528"/>
      <c r="AY95" s="528"/>
      <c r="AZ95" s="528"/>
      <c r="BA95" s="528"/>
      <c r="BB95" s="528"/>
      <c r="BC95" s="528"/>
      <c r="BD95" s="528"/>
      <c r="BE95" s="528"/>
      <c r="BF95" s="528"/>
      <c r="BG95" s="528"/>
      <c r="BH95" s="528"/>
      <c r="BI95" s="528"/>
      <c r="BJ95" s="528"/>
      <c r="BK95" s="528"/>
      <c r="BL95" s="528"/>
      <c r="BM95" s="528"/>
      <c r="BN95" s="528"/>
      <c r="BO95" s="528"/>
      <c r="BP95" s="528"/>
      <c r="BQ95" s="528"/>
      <c r="BR95" s="528"/>
      <c r="BS95" s="528"/>
      <c r="BT95" s="528"/>
      <c r="BU95" s="528"/>
      <c r="BV95" s="528"/>
      <c r="BW95" s="528"/>
      <c r="BX95" s="528"/>
      <c r="BY95" s="528"/>
      <c r="BZ95" s="528"/>
      <c r="CA95" s="528"/>
      <c r="CB95" s="528"/>
      <c r="CC95" s="528"/>
      <c r="CD95" s="528"/>
      <c r="CE95" s="528"/>
      <c r="CF95" s="528"/>
      <c r="CG95" s="528"/>
      <c r="CH95" s="528"/>
      <c r="CI95" s="528"/>
      <c r="CJ95" s="528"/>
      <c r="CK95" s="528"/>
      <c r="CL95" s="528"/>
      <c r="CM95" s="528"/>
      <c r="CN95" s="528"/>
      <c r="CO95" s="528"/>
      <c r="CP95" s="528"/>
      <c r="CQ95" s="528"/>
      <c r="CR95" s="528"/>
      <c r="CS95" s="528"/>
      <c r="CT95" s="528"/>
      <c r="CU95" s="528"/>
      <c r="CV95" s="528"/>
      <c r="CW95" s="528"/>
      <c r="CX95" s="528"/>
      <c r="CY95" s="528"/>
      <c r="CZ95" s="528"/>
      <c r="DA95" s="528"/>
      <c r="DB95" s="528"/>
      <c r="DC95" s="528"/>
      <c r="DD95" s="528"/>
      <c r="DE95" s="528"/>
      <c r="DF95" s="528"/>
    </row>
    <row r="96" spans="1:110" s="534" customFormat="1" ht="27.5" outlineLevel="1" thickBot="1">
      <c r="A96" s="527"/>
      <c r="B96" s="527"/>
      <c r="C96" s="527"/>
      <c r="D96" s="527"/>
      <c r="E96" s="535"/>
      <c r="F96" s="629" t="s">
        <v>362</v>
      </c>
      <c r="G96" s="630"/>
      <c r="H96" s="527"/>
      <c r="I96" s="551"/>
      <c r="J96" s="528"/>
      <c r="K96" s="528"/>
      <c r="L96" s="529"/>
      <c r="M96" s="530"/>
      <c r="N96" s="530"/>
      <c r="O96" s="528"/>
      <c r="P96" s="528"/>
      <c r="Q96" s="528"/>
      <c r="R96" s="527"/>
      <c r="S96" s="527"/>
      <c r="T96" s="527"/>
      <c r="U96" s="527"/>
      <c r="V96" s="528"/>
      <c r="W96" s="528"/>
      <c r="X96" s="528"/>
      <c r="Y96" s="528"/>
      <c r="Z96" s="528"/>
      <c r="AA96" s="528"/>
      <c r="AB96" s="528"/>
      <c r="AC96" s="528"/>
      <c r="AD96" s="528"/>
      <c r="AE96" s="528"/>
      <c r="AF96" s="528"/>
      <c r="AG96" s="528"/>
      <c r="AH96" s="528"/>
      <c r="AI96" s="528"/>
      <c r="AJ96" s="528"/>
      <c r="AK96" s="528"/>
      <c r="AL96" s="528"/>
      <c r="AM96" s="528"/>
      <c r="AN96" s="528"/>
      <c r="AO96" s="528"/>
      <c r="AP96" s="528"/>
      <c r="AQ96" s="528"/>
      <c r="AR96" s="528"/>
      <c r="AS96" s="528"/>
      <c r="AT96" s="528"/>
      <c r="AU96" s="528"/>
      <c r="AV96" s="528"/>
      <c r="AW96" s="528"/>
      <c r="AX96" s="528"/>
      <c r="AY96" s="528"/>
      <c r="AZ96" s="528"/>
      <c r="BA96" s="528"/>
      <c r="BB96" s="528"/>
      <c r="BC96" s="528"/>
      <c r="BD96" s="528"/>
      <c r="BE96" s="528"/>
      <c r="BF96" s="528"/>
      <c r="BG96" s="528"/>
      <c r="BH96" s="528"/>
      <c r="BI96" s="528"/>
      <c r="BJ96" s="528"/>
      <c r="BK96" s="528"/>
      <c r="BL96" s="528"/>
      <c r="BM96" s="528"/>
      <c r="BN96" s="528"/>
      <c r="BO96" s="528"/>
      <c r="BP96" s="528"/>
      <c r="BQ96" s="528"/>
      <c r="BR96" s="528"/>
      <c r="BS96" s="528"/>
      <c r="BT96" s="528"/>
      <c r="BU96" s="528"/>
      <c r="BV96" s="528"/>
      <c r="BW96" s="528"/>
      <c r="BX96" s="528"/>
      <c r="BY96" s="528"/>
      <c r="BZ96" s="528"/>
      <c r="CA96" s="528"/>
      <c r="CB96" s="528"/>
      <c r="CC96" s="528"/>
      <c r="CD96" s="528"/>
      <c r="CE96" s="528"/>
      <c r="CF96" s="528"/>
      <c r="CG96" s="528"/>
      <c r="CH96" s="528"/>
      <c r="CI96" s="528"/>
      <c r="CJ96" s="528"/>
      <c r="CK96" s="528"/>
      <c r="CL96" s="528"/>
      <c r="CM96" s="528"/>
      <c r="CN96" s="528"/>
      <c r="CO96" s="528"/>
      <c r="CP96" s="528"/>
      <c r="CQ96" s="528"/>
      <c r="CR96" s="528"/>
      <c r="CS96" s="528"/>
      <c r="CT96" s="528"/>
      <c r="CU96" s="528"/>
      <c r="CV96" s="528"/>
      <c r="CW96" s="528"/>
      <c r="CX96" s="528"/>
      <c r="CY96" s="528"/>
      <c r="CZ96" s="528"/>
      <c r="DA96" s="528"/>
      <c r="DB96" s="528"/>
      <c r="DC96" s="528"/>
      <c r="DD96" s="528"/>
      <c r="DE96" s="528"/>
      <c r="DF96" s="528"/>
    </row>
    <row r="97" spans="1:110" s="534" customFormat="1" ht="27.5" outlineLevel="1" thickBot="1">
      <c r="A97" s="527"/>
      <c r="B97" s="527"/>
      <c r="C97" s="527"/>
      <c r="D97" s="527"/>
      <c r="E97" s="535"/>
      <c r="F97" s="552" t="s">
        <v>358</v>
      </c>
      <c r="G97" s="554">
        <v>8.83</v>
      </c>
      <c r="H97" s="527"/>
      <c r="I97" s="551"/>
      <c r="J97" s="528"/>
      <c r="K97" s="528"/>
      <c r="L97" s="529"/>
      <c r="M97" s="530"/>
      <c r="N97" s="530"/>
      <c r="O97" s="528"/>
      <c r="P97" s="528"/>
      <c r="Q97" s="528"/>
      <c r="R97" s="527"/>
      <c r="S97" s="527"/>
      <c r="T97" s="527"/>
      <c r="U97" s="527"/>
      <c r="V97" s="528"/>
      <c r="W97" s="528"/>
      <c r="X97" s="528"/>
      <c r="Y97" s="528"/>
      <c r="Z97" s="528"/>
      <c r="AA97" s="528"/>
      <c r="AB97" s="528"/>
      <c r="AC97" s="528"/>
      <c r="AD97" s="528"/>
      <c r="AE97" s="528"/>
      <c r="AF97" s="528"/>
      <c r="AG97" s="528"/>
      <c r="AH97" s="528"/>
      <c r="AI97" s="528"/>
      <c r="AJ97" s="528"/>
      <c r="AK97" s="528"/>
      <c r="AL97" s="528"/>
      <c r="AM97" s="528"/>
      <c r="AN97" s="528"/>
      <c r="AO97" s="528"/>
      <c r="AP97" s="528"/>
      <c r="AQ97" s="528"/>
      <c r="AR97" s="528"/>
      <c r="AS97" s="528"/>
      <c r="AT97" s="528"/>
      <c r="AU97" s="528"/>
      <c r="AV97" s="528"/>
      <c r="AW97" s="528"/>
      <c r="AX97" s="528"/>
      <c r="AY97" s="528"/>
      <c r="AZ97" s="528"/>
      <c r="BA97" s="528"/>
      <c r="BB97" s="528"/>
      <c r="BC97" s="528"/>
      <c r="BD97" s="528"/>
      <c r="BE97" s="528"/>
      <c r="BF97" s="528"/>
      <c r="BG97" s="528"/>
      <c r="BH97" s="528"/>
      <c r="BI97" s="528"/>
      <c r="BJ97" s="528"/>
      <c r="BK97" s="528"/>
      <c r="BL97" s="528"/>
      <c r="BM97" s="528"/>
      <c r="BN97" s="528"/>
      <c r="BO97" s="528"/>
      <c r="BP97" s="528"/>
      <c r="BQ97" s="528"/>
      <c r="BR97" s="528"/>
      <c r="BS97" s="528"/>
      <c r="BT97" s="528"/>
      <c r="BU97" s="528"/>
      <c r="BV97" s="528"/>
      <c r="BW97" s="528"/>
      <c r="BX97" s="528"/>
      <c r="BY97" s="528"/>
      <c r="BZ97" s="528"/>
      <c r="CA97" s="528"/>
      <c r="CB97" s="528"/>
      <c r="CC97" s="528"/>
      <c r="CD97" s="528"/>
      <c r="CE97" s="528"/>
      <c r="CF97" s="528"/>
      <c r="CG97" s="528"/>
      <c r="CH97" s="528"/>
      <c r="CI97" s="528"/>
      <c r="CJ97" s="528"/>
      <c r="CK97" s="528"/>
      <c r="CL97" s="528"/>
      <c r="CM97" s="528"/>
      <c r="CN97" s="528"/>
      <c r="CO97" s="528"/>
      <c r="CP97" s="528"/>
      <c r="CQ97" s="528"/>
      <c r="CR97" s="528"/>
      <c r="CS97" s="528"/>
      <c r="CT97" s="528"/>
      <c r="CU97" s="528"/>
      <c r="CV97" s="528"/>
      <c r="CW97" s="528"/>
      <c r="CX97" s="528"/>
      <c r="CY97" s="528"/>
      <c r="CZ97" s="528"/>
      <c r="DA97" s="528"/>
      <c r="DB97" s="528"/>
      <c r="DC97" s="528"/>
      <c r="DD97" s="528"/>
      <c r="DE97" s="528"/>
      <c r="DF97" s="528"/>
    </row>
    <row r="98" spans="1:110" s="534" customFormat="1" ht="27.5" outlineLevel="1" thickBot="1">
      <c r="A98" s="527"/>
      <c r="B98" s="527"/>
      <c r="C98" s="527"/>
      <c r="D98" s="527"/>
      <c r="E98" s="535"/>
      <c r="F98" s="552" t="s">
        <v>359</v>
      </c>
      <c r="G98" s="554">
        <v>11.25</v>
      </c>
      <c r="H98" s="527"/>
      <c r="I98" s="551"/>
      <c r="J98" s="528"/>
      <c r="K98" s="528"/>
      <c r="L98" s="529"/>
      <c r="M98" s="530"/>
      <c r="N98" s="530"/>
      <c r="O98" s="528"/>
      <c r="P98" s="528"/>
      <c r="Q98" s="528"/>
      <c r="R98" s="527"/>
      <c r="S98" s="527"/>
      <c r="T98" s="527"/>
      <c r="U98" s="527"/>
      <c r="V98" s="528"/>
      <c r="W98" s="528"/>
      <c r="X98" s="528"/>
      <c r="Y98" s="528"/>
      <c r="Z98" s="528"/>
      <c r="AA98" s="528"/>
      <c r="AB98" s="528"/>
      <c r="AC98" s="528"/>
      <c r="AD98" s="528"/>
      <c r="AE98" s="528"/>
      <c r="AF98" s="528"/>
      <c r="AG98" s="528"/>
      <c r="AH98" s="528"/>
      <c r="AI98" s="528"/>
      <c r="AJ98" s="528"/>
      <c r="AK98" s="528"/>
      <c r="AL98" s="528"/>
      <c r="AM98" s="528"/>
      <c r="AN98" s="528"/>
      <c r="AO98" s="528"/>
      <c r="AP98" s="528"/>
      <c r="AQ98" s="528"/>
      <c r="AR98" s="528"/>
      <c r="AS98" s="528"/>
      <c r="AT98" s="528"/>
      <c r="AU98" s="528"/>
      <c r="AV98" s="528"/>
      <c r="AW98" s="528"/>
      <c r="AX98" s="528"/>
      <c r="AY98" s="528"/>
      <c r="AZ98" s="528"/>
      <c r="BA98" s="528"/>
      <c r="BB98" s="528"/>
      <c r="BC98" s="528"/>
      <c r="BD98" s="528"/>
      <c r="BE98" s="528"/>
      <c r="BF98" s="528"/>
      <c r="BG98" s="528"/>
      <c r="BH98" s="528"/>
      <c r="BI98" s="528"/>
      <c r="BJ98" s="528"/>
      <c r="BK98" s="528"/>
      <c r="BL98" s="528"/>
      <c r="BM98" s="528"/>
      <c r="BN98" s="528"/>
      <c r="BO98" s="528"/>
      <c r="BP98" s="528"/>
      <c r="BQ98" s="528"/>
      <c r="BR98" s="528"/>
      <c r="BS98" s="528"/>
      <c r="BT98" s="528"/>
      <c r="BU98" s="528"/>
      <c r="BV98" s="528"/>
      <c r="BW98" s="528"/>
      <c r="BX98" s="528"/>
      <c r="BY98" s="528"/>
      <c r="BZ98" s="528"/>
      <c r="CA98" s="528"/>
      <c r="CB98" s="528"/>
      <c r="CC98" s="528"/>
      <c r="CD98" s="528"/>
      <c r="CE98" s="528"/>
      <c r="CF98" s="528"/>
      <c r="CG98" s="528"/>
      <c r="CH98" s="528"/>
      <c r="CI98" s="528"/>
      <c r="CJ98" s="528"/>
      <c r="CK98" s="528"/>
      <c r="CL98" s="528"/>
      <c r="CM98" s="528"/>
      <c r="CN98" s="528"/>
      <c r="CO98" s="528"/>
      <c r="CP98" s="528"/>
      <c r="CQ98" s="528"/>
      <c r="CR98" s="528"/>
      <c r="CS98" s="528"/>
      <c r="CT98" s="528"/>
      <c r="CU98" s="528"/>
      <c r="CV98" s="528"/>
      <c r="CW98" s="528"/>
      <c r="CX98" s="528"/>
      <c r="CY98" s="528"/>
      <c r="CZ98" s="528"/>
      <c r="DA98" s="528"/>
      <c r="DB98" s="528"/>
      <c r="DC98" s="528"/>
      <c r="DD98" s="528"/>
      <c r="DE98" s="528"/>
      <c r="DF98" s="528"/>
    </row>
    <row r="99" spans="1:110" s="534" customFormat="1" ht="27.5" outlineLevel="1" thickBot="1">
      <c r="A99" s="527"/>
      <c r="B99" s="527"/>
      <c r="C99" s="527"/>
      <c r="D99" s="527"/>
      <c r="E99" s="535"/>
      <c r="F99" s="552" t="s">
        <v>360</v>
      </c>
      <c r="G99" s="554">
        <v>15.47</v>
      </c>
      <c r="H99" s="527"/>
      <c r="I99" s="551"/>
      <c r="J99" s="528"/>
      <c r="K99" s="528"/>
      <c r="L99" s="529"/>
      <c r="M99" s="530"/>
      <c r="N99" s="530"/>
      <c r="O99" s="528"/>
      <c r="P99" s="528"/>
      <c r="Q99" s="528"/>
      <c r="R99" s="527"/>
      <c r="S99" s="527"/>
      <c r="T99" s="527"/>
      <c r="U99" s="527"/>
      <c r="V99" s="528"/>
      <c r="W99" s="528"/>
      <c r="X99" s="528"/>
      <c r="Y99" s="528"/>
      <c r="Z99" s="528"/>
      <c r="AA99" s="528"/>
      <c r="AB99" s="528"/>
      <c r="AC99" s="528"/>
      <c r="AD99" s="528"/>
      <c r="AE99" s="528"/>
      <c r="AF99" s="528"/>
      <c r="AG99" s="528"/>
      <c r="AH99" s="528"/>
      <c r="AI99" s="528"/>
      <c r="AJ99" s="528"/>
      <c r="AK99" s="528"/>
      <c r="AL99" s="528"/>
      <c r="AM99" s="528"/>
      <c r="AN99" s="528"/>
      <c r="AO99" s="528"/>
      <c r="AP99" s="528"/>
      <c r="AQ99" s="528"/>
      <c r="AR99" s="528"/>
      <c r="AS99" s="528"/>
      <c r="AT99" s="528"/>
      <c r="AU99" s="528"/>
      <c r="AV99" s="528"/>
      <c r="AW99" s="528"/>
      <c r="AX99" s="528"/>
      <c r="AY99" s="528"/>
      <c r="AZ99" s="528"/>
      <c r="BA99" s="528"/>
      <c r="BB99" s="528"/>
      <c r="BC99" s="528"/>
      <c r="BD99" s="528"/>
      <c r="BE99" s="528"/>
      <c r="BF99" s="528"/>
      <c r="BG99" s="528"/>
      <c r="BH99" s="528"/>
      <c r="BI99" s="528"/>
      <c r="BJ99" s="528"/>
      <c r="BK99" s="528"/>
      <c r="BL99" s="528"/>
      <c r="BM99" s="528"/>
      <c r="BN99" s="528"/>
      <c r="BO99" s="528"/>
      <c r="BP99" s="528"/>
      <c r="BQ99" s="528"/>
      <c r="BR99" s="528"/>
      <c r="BS99" s="528"/>
      <c r="BT99" s="528"/>
      <c r="BU99" s="528"/>
      <c r="BV99" s="528"/>
      <c r="BW99" s="528"/>
      <c r="BX99" s="528"/>
      <c r="BY99" s="528"/>
      <c r="BZ99" s="528"/>
      <c r="CA99" s="528"/>
      <c r="CB99" s="528"/>
      <c r="CC99" s="528"/>
      <c r="CD99" s="528"/>
      <c r="CE99" s="528"/>
      <c r="CF99" s="528"/>
      <c r="CG99" s="528"/>
      <c r="CH99" s="528"/>
      <c r="CI99" s="528"/>
      <c r="CJ99" s="528"/>
      <c r="CK99" s="528"/>
      <c r="CL99" s="528"/>
      <c r="CM99" s="528"/>
      <c r="CN99" s="528"/>
      <c r="CO99" s="528"/>
      <c r="CP99" s="528"/>
      <c r="CQ99" s="528"/>
      <c r="CR99" s="528"/>
      <c r="CS99" s="528"/>
      <c r="CT99" s="528"/>
      <c r="CU99" s="528"/>
      <c r="CV99" s="528"/>
      <c r="CW99" s="528"/>
      <c r="CX99" s="528"/>
      <c r="CY99" s="528"/>
      <c r="CZ99" s="528"/>
      <c r="DA99" s="528"/>
      <c r="DB99" s="528"/>
      <c r="DC99" s="528"/>
      <c r="DD99" s="528"/>
      <c r="DE99" s="528"/>
      <c r="DF99" s="528"/>
    </row>
    <row r="100" spans="1:110" s="534" customFormat="1" ht="27.5" outlineLevel="1" thickBot="1">
      <c r="A100" s="527"/>
      <c r="B100" s="527"/>
      <c r="C100" s="527"/>
      <c r="D100" s="527"/>
      <c r="E100" s="535"/>
      <c r="F100" s="552" t="s">
        <v>361</v>
      </c>
      <c r="G100" s="555">
        <v>20.36</v>
      </c>
      <c r="H100" s="527"/>
      <c r="I100" s="551"/>
      <c r="J100" s="528"/>
      <c r="K100" s="528"/>
      <c r="L100" s="529"/>
      <c r="M100" s="530"/>
      <c r="N100" s="530"/>
      <c r="O100" s="528"/>
      <c r="P100" s="528"/>
      <c r="Q100" s="528"/>
      <c r="R100" s="527"/>
      <c r="S100" s="527"/>
      <c r="T100" s="527"/>
      <c r="U100" s="527"/>
      <c r="V100" s="528"/>
      <c r="W100" s="528"/>
      <c r="X100" s="528"/>
      <c r="Y100" s="528"/>
      <c r="Z100" s="528"/>
      <c r="AA100" s="528"/>
      <c r="AB100" s="528"/>
      <c r="AC100" s="528"/>
      <c r="AD100" s="528"/>
      <c r="AE100" s="528"/>
      <c r="AF100" s="528"/>
      <c r="AG100" s="528"/>
      <c r="AH100" s="528"/>
      <c r="AI100" s="528"/>
      <c r="AJ100" s="528"/>
      <c r="AK100" s="528"/>
      <c r="AL100" s="528"/>
      <c r="AM100" s="528"/>
      <c r="AN100" s="528"/>
      <c r="AO100" s="528"/>
      <c r="AP100" s="528"/>
      <c r="AQ100" s="528"/>
      <c r="AR100" s="528"/>
      <c r="AS100" s="528"/>
      <c r="AT100" s="528"/>
      <c r="AU100" s="528"/>
      <c r="AV100" s="528"/>
      <c r="AW100" s="528"/>
      <c r="AX100" s="528"/>
      <c r="AY100" s="528"/>
      <c r="AZ100" s="528"/>
      <c r="BA100" s="528"/>
      <c r="BB100" s="528"/>
      <c r="BC100" s="528"/>
      <c r="BD100" s="528"/>
      <c r="BE100" s="528"/>
      <c r="BF100" s="528"/>
      <c r="BG100" s="528"/>
      <c r="BH100" s="528"/>
      <c r="BI100" s="528"/>
      <c r="BJ100" s="528"/>
      <c r="BK100" s="528"/>
      <c r="BL100" s="528"/>
      <c r="BM100" s="528"/>
      <c r="BN100" s="528"/>
      <c r="BO100" s="528"/>
      <c r="BP100" s="528"/>
      <c r="BQ100" s="528"/>
      <c r="BR100" s="528"/>
      <c r="BS100" s="528"/>
      <c r="BT100" s="528"/>
      <c r="BU100" s="528"/>
      <c r="BV100" s="528"/>
      <c r="BW100" s="528"/>
      <c r="BX100" s="528"/>
      <c r="BY100" s="528"/>
      <c r="BZ100" s="528"/>
      <c r="CA100" s="528"/>
      <c r="CB100" s="528"/>
      <c r="CC100" s="528"/>
      <c r="CD100" s="528"/>
      <c r="CE100" s="528"/>
      <c r="CF100" s="528"/>
      <c r="CG100" s="528"/>
      <c r="CH100" s="528"/>
      <c r="CI100" s="528"/>
      <c r="CJ100" s="528"/>
      <c r="CK100" s="528"/>
      <c r="CL100" s="528"/>
      <c r="CM100" s="528"/>
      <c r="CN100" s="528"/>
      <c r="CO100" s="528"/>
      <c r="CP100" s="528"/>
      <c r="CQ100" s="528"/>
      <c r="CR100" s="528"/>
      <c r="CS100" s="528"/>
      <c r="CT100" s="528"/>
      <c r="CU100" s="528"/>
      <c r="CV100" s="528"/>
      <c r="CW100" s="528"/>
      <c r="CX100" s="528"/>
      <c r="CY100" s="528"/>
      <c r="CZ100" s="528"/>
      <c r="DA100" s="528"/>
      <c r="DB100" s="528"/>
      <c r="DC100" s="528"/>
      <c r="DD100" s="528"/>
      <c r="DE100" s="528"/>
      <c r="DF100" s="528"/>
    </row>
    <row r="101" spans="1:110" s="534" customFormat="1" ht="27" outlineLevel="1">
      <c r="A101" s="527"/>
      <c r="B101" s="527"/>
      <c r="C101" s="527"/>
      <c r="D101" s="527"/>
      <c r="E101" s="535"/>
      <c r="F101" s="527"/>
      <c r="G101" s="527"/>
      <c r="H101" s="527"/>
      <c r="I101" s="551"/>
      <c r="J101" s="528"/>
      <c r="K101" s="528"/>
      <c r="L101" s="529"/>
      <c r="M101" s="530"/>
      <c r="N101" s="530"/>
      <c r="O101" s="528"/>
      <c r="P101" s="528"/>
      <c r="Q101" s="528"/>
      <c r="R101" s="527"/>
      <c r="S101" s="527"/>
      <c r="T101" s="527"/>
      <c r="U101" s="527"/>
      <c r="V101" s="528"/>
      <c r="W101" s="528"/>
      <c r="X101" s="528"/>
      <c r="Y101" s="528"/>
      <c r="Z101" s="528"/>
      <c r="AA101" s="528"/>
      <c r="AB101" s="528"/>
      <c r="AC101" s="528"/>
      <c r="AD101" s="528"/>
      <c r="AE101" s="528"/>
      <c r="AF101" s="528"/>
      <c r="AG101" s="528"/>
      <c r="AH101" s="528"/>
      <c r="AI101" s="528"/>
      <c r="AJ101" s="528"/>
      <c r="AK101" s="528"/>
      <c r="AL101" s="528"/>
      <c r="AM101" s="528"/>
      <c r="AN101" s="528"/>
      <c r="AO101" s="528"/>
      <c r="AP101" s="528"/>
      <c r="AQ101" s="528"/>
      <c r="AR101" s="528"/>
      <c r="AS101" s="528"/>
      <c r="AT101" s="528"/>
      <c r="AU101" s="528"/>
      <c r="AV101" s="528"/>
      <c r="AW101" s="528"/>
      <c r="AX101" s="528"/>
      <c r="AY101" s="528"/>
      <c r="AZ101" s="528"/>
      <c r="BA101" s="528"/>
      <c r="BB101" s="528"/>
      <c r="BC101" s="528"/>
      <c r="BD101" s="528"/>
      <c r="BE101" s="528"/>
      <c r="BF101" s="528"/>
      <c r="BG101" s="528"/>
      <c r="BH101" s="528"/>
      <c r="BI101" s="528"/>
      <c r="BJ101" s="528"/>
      <c r="BK101" s="528"/>
      <c r="BL101" s="528"/>
      <c r="BM101" s="528"/>
      <c r="BN101" s="528"/>
      <c r="BO101" s="528"/>
      <c r="BP101" s="528"/>
      <c r="BQ101" s="528"/>
      <c r="BR101" s="528"/>
      <c r="BS101" s="528"/>
      <c r="BT101" s="528"/>
      <c r="BU101" s="528"/>
      <c r="BV101" s="528"/>
      <c r="BW101" s="528"/>
      <c r="BX101" s="528"/>
      <c r="BY101" s="528"/>
      <c r="BZ101" s="528"/>
      <c r="CA101" s="528"/>
      <c r="CB101" s="528"/>
      <c r="CC101" s="528"/>
      <c r="CD101" s="528"/>
      <c r="CE101" s="528"/>
      <c r="CF101" s="528"/>
      <c r="CG101" s="528"/>
      <c r="CH101" s="528"/>
      <c r="CI101" s="528"/>
      <c r="CJ101" s="528"/>
      <c r="CK101" s="528"/>
      <c r="CL101" s="528"/>
      <c r="CM101" s="528"/>
      <c r="CN101" s="528"/>
      <c r="CO101" s="528"/>
      <c r="CP101" s="528"/>
      <c r="CQ101" s="528"/>
      <c r="CR101" s="528"/>
      <c r="CS101" s="528"/>
      <c r="CT101" s="528"/>
      <c r="CU101" s="528"/>
      <c r="CV101" s="528"/>
      <c r="CW101" s="528"/>
      <c r="CX101" s="528"/>
      <c r="CY101" s="528"/>
      <c r="CZ101" s="528"/>
      <c r="DA101" s="528"/>
      <c r="DB101" s="528"/>
      <c r="DC101" s="528"/>
      <c r="DD101" s="528"/>
      <c r="DE101" s="528"/>
      <c r="DF101" s="528"/>
    </row>
    <row r="102" spans="1:110" s="534" customFormat="1" ht="27.5" outlineLevel="1" thickBot="1">
      <c r="A102" s="527"/>
      <c r="B102" s="527"/>
      <c r="C102" s="527"/>
      <c r="D102" s="527"/>
      <c r="E102" s="556"/>
      <c r="F102" s="557"/>
      <c r="G102" s="557"/>
      <c r="H102" s="557"/>
      <c r="I102" s="555"/>
      <c r="J102" s="528"/>
      <c r="K102" s="528"/>
      <c r="L102" s="529"/>
      <c r="M102" s="530"/>
      <c r="N102" s="530"/>
      <c r="O102" s="528"/>
      <c r="P102" s="528"/>
      <c r="Q102" s="528"/>
      <c r="R102" s="527"/>
      <c r="S102" s="527"/>
      <c r="T102" s="527"/>
      <c r="U102" s="527"/>
      <c r="V102" s="528"/>
      <c r="W102" s="528"/>
      <c r="X102" s="528"/>
      <c r="Y102" s="528"/>
      <c r="Z102" s="528"/>
      <c r="AA102" s="528"/>
      <c r="AB102" s="528"/>
      <c r="AC102" s="528"/>
      <c r="AD102" s="528"/>
      <c r="AE102" s="528"/>
      <c r="AF102" s="528"/>
      <c r="AG102" s="528"/>
      <c r="AH102" s="528"/>
      <c r="AI102" s="528"/>
      <c r="AJ102" s="528"/>
      <c r="AK102" s="528"/>
      <c r="AL102" s="528"/>
      <c r="AM102" s="528"/>
      <c r="AN102" s="528"/>
      <c r="AO102" s="528"/>
      <c r="AP102" s="528"/>
      <c r="AQ102" s="528"/>
      <c r="AR102" s="528"/>
      <c r="AS102" s="528"/>
      <c r="AT102" s="528"/>
      <c r="AU102" s="528"/>
      <c r="AV102" s="528"/>
      <c r="AW102" s="528"/>
      <c r="AX102" s="528"/>
      <c r="AY102" s="528"/>
      <c r="AZ102" s="528"/>
      <c r="BA102" s="528"/>
      <c r="BB102" s="528"/>
      <c r="BC102" s="528"/>
      <c r="BD102" s="528"/>
      <c r="BE102" s="528"/>
      <c r="BF102" s="528"/>
      <c r="BG102" s="528"/>
      <c r="BH102" s="528"/>
      <c r="BI102" s="528"/>
      <c r="BJ102" s="528"/>
      <c r="BK102" s="528"/>
      <c r="BL102" s="528"/>
      <c r="BM102" s="528"/>
      <c r="BN102" s="528"/>
      <c r="BO102" s="528"/>
      <c r="BP102" s="528"/>
      <c r="BQ102" s="528"/>
      <c r="BR102" s="528"/>
      <c r="BS102" s="528"/>
      <c r="BT102" s="528"/>
      <c r="BU102" s="528"/>
      <c r="BV102" s="528"/>
      <c r="BW102" s="528"/>
      <c r="BX102" s="528"/>
      <c r="BY102" s="528"/>
      <c r="BZ102" s="528"/>
      <c r="CA102" s="528"/>
      <c r="CB102" s="528"/>
      <c r="CC102" s="528"/>
      <c r="CD102" s="528"/>
      <c r="CE102" s="528"/>
      <c r="CF102" s="528"/>
      <c r="CG102" s="528"/>
      <c r="CH102" s="528"/>
      <c r="CI102" s="528"/>
      <c r="CJ102" s="528"/>
      <c r="CK102" s="528"/>
      <c r="CL102" s="528"/>
      <c r="CM102" s="528"/>
      <c r="CN102" s="528"/>
      <c r="CO102" s="528"/>
      <c r="CP102" s="528"/>
      <c r="CQ102" s="528"/>
      <c r="CR102" s="528"/>
      <c r="CS102" s="528"/>
      <c r="CT102" s="528"/>
      <c r="CU102" s="528"/>
      <c r="CV102" s="528"/>
      <c r="CW102" s="528"/>
      <c r="CX102" s="528"/>
      <c r="CY102" s="528"/>
      <c r="CZ102" s="528"/>
      <c r="DA102" s="528"/>
      <c r="DB102" s="528"/>
      <c r="DC102" s="528"/>
      <c r="DD102" s="528"/>
      <c r="DE102" s="528"/>
      <c r="DF102" s="528"/>
    </row>
    <row r="103" spans="1:110" outlineLevel="1">
      <c r="A103" s="444"/>
      <c r="B103" s="444"/>
      <c r="C103" s="444"/>
      <c r="D103" s="444"/>
      <c r="E103" s="444"/>
      <c r="F103" s="444"/>
      <c r="G103" s="444"/>
      <c r="H103" s="444"/>
      <c r="I103" s="444"/>
      <c r="L103" s="420"/>
      <c r="M103" s="421"/>
      <c r="N103" s="422"/>
    </row>
    <row r="104" spans="1:110">
      <c r="A104" s="444"/>
      <c r="B104" s="444"/>
      <c r="C104" s="444"/>
      <c r="D104" s="444"/>
      <c r="E104" s="444"/>
      <c r="F104" s="444"/>
      <c r="G104" s="444"/>
      <c r="H104" s="444"/>
      <c r="I104" s="444"/>
      <c r="L104" s="420"/>
      <c r="M104" s="421"/>
      <c r="N104" s="422"/>
    </row>
    <row r="105" spans="1:110">
      <c r="A105" s="444"/>
      <c r="B105" s="444"/>
      <c r="C105" s="444"/>
      <c r="D105" s="444"/>
      <c r="E105" s="444"/>
      <c r="F105" s="444"/>
      <c r="G105" s="444"/>
      <c r="H105" s="444"/>
      <c r="I105" s="444"/>
      <c r="L105" s="420"/>
      <c r="M105" s="421"/>
      <c r="N105" s="422"/>
    </row>
    <row r="106" spans="1:110">
      <c r="A106" s="444"/>
      <c r="B106" s="444"/>
      <c r="C106" s="444"/>
      <c r="D106" s="444"/>
      <c r="E106" s="444"/>
      <c r="F106" s="444"/>
      <c r="G106" s="444"/>
      <c r="H106" s="444"/>
      <c r="I106" s="444"/>
      <c r="L106" s="420"/>
      <c r="M106" s="421"/>
      <c r="N106" s="422"/>
    </row>
    <row r="107" spans="1:110">
      <c r="A107" s="444"/>
      <c r="B107" s="444"/>
      <c r="C107" s="444"/>
      <c r="D107" s="444"/>
      <c r="E107" s="444"/>
      <c r="F107" s="444"/>
      <c r="G107" s="444"/>
      <c r="H107" s="444"/>
      <c r="I107" s="444"/>
      <c r="L107" s="420"/>
      <c r="M107" s="421"/>
      <c r="N107" s="422"/>
    </row>
    <row r="108" spans="1:110">
      <c r="A108" s="444"/>
      <c r="B108" s="444"/>
      <c r="C108" s="444"/>
      <c r="D108" s="444"/>
      <c r="E108" s="444"/>
      <c r="F108" s="444"/>
      <c r="G108" s="444"/>
      <c r="H108" s="444"/>
      <c r="I108" s="444"/>
      <c r="L108" s="420"/>
      <c r="M108" s="421"/>
      <c r="N108" s="422"/>
    </row>
    <row r="109" spans="1:110">
      <c r="A109" s="444"/>
      <c r="B109" s="444"/>
      <c r="C109" s="444"/>
      <c r="D109" s="444"/>
      <c r="E109" s="444"/>
      <c r="F109" s="444"/>
      <c r="G109" s="444"/>
      <c r="H109" s="444"/>
      <c r="I109" s="444"/>
      <c r="L109" s="420"/>
      <c r="M109" s="421"/>
      <c r="N109" s="422"/>
    </row>
    <row r="110" spans="1:110">
      <c r="A110" s="444"/>
      <c r="B110" s="444"/>
      <c r="C110" s="444"/>
      <c r="D110" s="444"/>
      <c r="E110" s="444"/>
      <c r="F110" s="444"/>
      <c r="G110" s="444"/>
      <c r="H110" s="444"/>
      <c r="I110" s="444"/>
      <c r="L110" s="420"/>
      <c r="M110" s="421"/>
      <c r="N110" s="422"/>
    </row>
    <row r="111" spans="1:110">
      <c r="A111" s="444"/>
      <c r="B111" s="444"/>
      <c r="C111" s="444"/>
      <c r="D111" s="444"/>
      <c r="E111" s="444"/>
      <c r="F111" s="444"/>
      <c r="G111" s="444"/>
      <c r="H111" s="444"/>
      <c r="I111" s="444"/>
      <c r="L111" s="420"/>
      <c r="M111" s="421"/>
      <c r="N111" s="422"/>
    </row>
    <row r="112" spans="1:110">
      <c r="A112" s="444"/>
      <c r="B112" s="444"/>
      <c r="C112" s="444"/>
      <c r="D112" s="444"/>
      <c r="E112" s="444"/>
      <c r="F112" s="444"/>
      <c r="G112" s="444"/>
      <c r="H112" s="444"/>
      <c r="I112" s="444"/>
      <c r="L112" s="420"/>
      <c r="M112" s="421"/>
      <c r="N112" s="422"/>
    </row>
    <row r="113" spans="1:14">
      <c r="A113" s="444"/>
      <c r="B113" s="444"/>
      <c r="C113" s="444"/>
      <c r="D113" s="444"/>
      <c r="E113" s="444"/>
      <c r="F113" s="444"/>
      <c r="G113" s="444"/>
      <c r="H113" s="444"/>
      <c r="I113" s="444"/>
      <c r="L113" s="420"/>
      <c r="M113" s="421"/>
      <c r="N113" s="422"/>
    </row>
    <row r="114" spans="1:14">
      <c r="A114" s="444"/>
      <c r="B114" s="444"/>
      <c r="C114" s="444"/>
      <c r="D114" s="444"/>
      <c r="E114" s="444"/>
      <c r="F114" s="444"/>
      <c r="G114" s="444"/>
      <c r="H114" s="444"/>
      <c r="I114" s="444"/>
      <c r="L114" s="420"/>
      <c r="M114" s="421"/>
      <c r="N114" s="422"/>
    </row>
    <row r="115" spans="1:14">
      <c r="A115" s="444"/>
      <c r="B115" s="444"/>
      <c r="C115" s="444"/>
      <c r="D115" s="444"/>
      <c r="E115" s="444"/>
      <c r="F115" s="444"/>
      <c r="G115" s="444"/>
      <c r="H115" s="444"/>
      <c r="I115" s="444"/>
      <c r="L115" s="420"/>
      <c r="M115" s="421"/>
      <c r="N115" s="422"/>
    </row>
    <row r="116" spans="1:14">
      <c r="A116" s="444"/>
      <c r="B116" s="444"/>
      <c r="C116" s="444"/>
      <c r="D116" s="444"/>
      <c r="E116" s="444"/>
      <c r="F116" s="444"/>
      <c r="G116" s="444"/>
      <c r="H116" s="444"/>
      <c r="I116" s="444"/>
      <c r="L116" s="420"/>
      <c r="M116" s="421"/>
      <c r="N116" s="422"/>
    </row>
    <row r="117" spans="1:14">
      <c r="A117" s="444"/>
      <c r="B117" s="444"/>
      <c r="C117" s="444"/>
      <c r="D117" s="444"/>
      <c r="E117" s="444"/>
      <c r="F117" s="444"/>
      <c r="G117" s="444"/>
      <c r="H117" s="444"/>
      <c r="I117" s="444"/>
      <c r="L117" s="420"/>
      <c r="M117" s="421"/>
      <c r="N117" s="422"/>
    </row>
    <row r="118" spans="1:14">
      <c r="A118" s="444"/>
      <c r="B118" s="444"/>
      <c r="C118" s="444"/>
      <c r="D118" s="444"/>
      <c r="E118" s="444"/>
      <c r="F118" s="444"/>
      <c r="G118" s="444"/>
      <c r="H118" s="444"/>
      <c r="I118" s="444"/>
      <c r="L118" s="420"/>
      <c r="M118" s="421"/>
      <c r="N118" s="422"/>
    </row>
    <row r="119" spans="1:14">
      <c r="A119" s="444"/>
      <c r="B119" s="444"/>
      <c r="C119" s="444"/>
      <c r="D119" s="444"/>
      <c r="E119" s="444"/>
      <c r="F119" s="444"/>
      <c r="G119" s="444"/>
      <c r="H119" s="444"/>
      <c r="I119" s="444"/>
      <c r="L119" s="420"/>
      <c r="M119" s="421"/>
      <c r="N119" s="422"/>
    </row>
    <row r="120" spans="1:14">
      <c r="A120" s="444"/>
      <c r="B120" s="444"/>
      <c r="C120" s="444"/>
      <c r="D120" s="444"/>
      <c r="E120" s="444"/>
      <c r="F120" s="444"/>
      <c r="G120" s="444"/>
      <c r="H120" s="444"/>
      <c r="I120" s="444"/>
      <c r="L120" s="420"/>
      <c r="M120" s="421"/>
      <c r="N120" s="422"/>
    </row>
    <row r="121" spans="1:14">
      <c r="A121" s="444"/>
      <c r="B121" s="444"/>
      <c r="C121" s="444"/>
      <c r="D121" s="444"/>
      <c r="E121" s="444"/>
      <c r="F121" s="444"/>
      <c r="G121" s="444"/>
      <c r="H121" s="444"/>
      <c r="I121" s="444"/>
      <c r="L121" s="420"/>
      <c r="M121" s="421"/>
      <c r="N121" s="422"/>
    </row>
    <row r="122" spans="1:14">
      <c r="A122" s="444"/>
      <c r="B122" s="444"/>
      <c r="C122" s="444"/>
      <c r="D122" s="444"/>
      <c r="E122" s="444"/>
      <c r="F122" s="444"/>
      <c r="G122" s="444"/>
      <c r="H122" s="444"/>
      <c r="I122" s="444"/>
      <c r="L122" s="420"/>
      <c r="M122" s="421"/>
      <c r="N122" s="422"/>
    </row>
    <row r="123" spans="1:14">
      <c r="A123" s="444"/>
      <c r="B123" s="444"/>
      <c r="C123" s="444"/>
      <c r="D123" s="444"/>
      <c r="E123" s="444"/>
      <c r="F123" s="444"/>
      <c r="G123" s="444"/>
      <c r="H123" s="444"/>
      <c r="I123" s="444"/>
      <c r="L123" s="420"/>
      <c r="M123" s="421"/>
      <c r="N123" s="422"/>
    </row>
    <row r="124" spans="1:14">
      <c r="A124" s="444"/>
      <c r="B124" s="444"/>
      <c r="C124" s="444"/>
      <c r="D124" s="444"/>
      <c r="E124" s="444"/>
      <c r="F124" s="444"/>
      <c r="G124" s="444"/>
      <c r="H124" s="444"/>
      <c r="I124" s="444"/>
      <c r="L124" s="420"/>
      <c r="M124" s="421"/>
      <c r="N124" s="422"/>
    </row>
    <row r="125" spans="1:14">
      <c r="A125" s="444"/>
      <c r="B125" s="444"/>
      <c r="C125" s="444"/>
      <c r="D125" s="444"/>
      <c r="E125" s="444"/>
      <c r="F125" s="444"/>
      <c r="G125" s="444"/>
      <c r="H125" s="444"/>
      <c r="I125" s="444"/>
      <c r="L125" s="420"/>
      <c r="M125" s="421"/>
      <c r="N125" s="422"/>
    </row>
    <row r="126" spans="1:14">
      <c r="A126" s="444"/>
      <c r="B126" s="444"/>
      <c r="C126" s="444"/>
      <c r="D126" s="444"/>
      <c r="E126" s="444"/>
      <c r="F126" s="444"/>
      <c r="G126" s="444"/>
      <c r="H126" s="444"/>
      <c r="I126" s="444"/>
      <c r="L126" s="420"/>
      <c r="M126" s="421"/>
      <c r="N126" s="422"/>
    </row>
    <row r="127" spans="1:14">
      <c r="A127" s="444"/>
      <c r="B127" s="444"/>
      <c r="C127" s="444"/>
      <c r="D127" s="444"/>
      <c r="E127" s="444"/>
      <c r="F127" s="444"/>
      <c r="G127" s="444"/>
      <c r="H127" s="444"/>
      <c r="I127" s="444"/>
      <c r="L127" s="420"/>
      <c r="M127" s="421"/>
      <c r="N127" s="422"/>
    </row>
    <row r="128" spans="1:14">
      <c r="A128" s="444"/>
      <c r="B128" s="444"/>
      <c r="C128" s="444"/>
      <c r="D128" s="444"/>
      <c r="E128" s="444"/>
      <c r="F128" s="444"/>
      <c r="G128" s="444"/>
      <c r="H128" s="444"/>
      <c r="I128" s="444"/>
      <c r="L128" s="420"/>
      <c r="M128" s="421"/>
      <c r="N128" s="422"/>
    </row>
    <row r="129" spans="1:14">
      <c r="A129" s="444"/>
      <c r="B129" s="444"/>
      <c r="C129" s="444"/>
      <c r="D129" s="444"/>
      <c r="E129" s="444"/>
      <c r="F129" s="444"/>
      <c r="G129" s="444"/>
      <c r="H129" s="444"/>
      <c r="I129" s="444"/>
      <c r="L129" s="420"/>
      <c r="M129" s="421"/>
      <c r="N129" s="422"/>
    </row>
    <row r="130" spans="1:14">
      <c r="A130" s="444"/>
      <c r="B130" s="444"/>
      <c r="C130" s="444"/>
      <c r="D130" s="444"/>
      <c r="E130" s="444"/>
      <c r="F130" s="444"/>
      <c r="G130" s="444"/>
      <c r="H130" s="444"/>
      <c r="I130" s="444"/>
      <c r="L130" s="420"/>
      <c r="M130" s="421"/>
      <c r="N130" s="422"/>
    </row>
    <row r="131" spans="1:14">
      <c r="A131" s="444"/>
      <c r="B131" s="444"/>
      <c r="C131" s="444"/>
      <c r="D131" s="444"/>
      <c r="E131" s="444"/>
      <c r="F131" s="444"/>
      <c r="G131" s="444"/>
      <c r="H131" s="444"/>
      <c r="I131" s="444"/>
      <c r="L131" s="420"/>
      <c r="M131" s="421"/>
      <c r="N131" s="422"/>
    </row>
    <row r="132" spans="1:14">
      <c r="A132" s="444"/>
      <c r="B132" s="444"/>
      <c r="C132" s="444"/>
      <c r="D132" s="444"/>
      <c r="E132" s="444"/>
      <c r="F132" s="444"/>
      <c r="G132" s="444"/>
      <c r="H132" s="444"/>
      <c r="I132" s="444"/>
      <c r="L132" s="420"/>
      <c r="M132" s="421"/>
      <c r="N132" s="422"/>
    </row>
    <row r="133" spans="1:14">
      <c r="A133" s="444"/>
      <c r="B133" s="444"/>
      <c r="C133" s="444"/>
      <c r="D133" s="444"/>
      <c r="E133" s="444"/>
      <c r="F133" s="444"/>
      <c r="G133" s="444"/>
      <c r="H133" s="444"/>
      <c r="I133" s="444"/>
      <c r="L133" s="420"/>
      <c r="M133" s="421"/>
      <c r="N133" s="422"/>
    </row>
    <row r="134" spans="1:14">
      <c r="A134" s="444"/>
      <c r="B134" s="444"/>
      <c r="C134" s="444"/>
      <c r="D134" s="444"/>
      <c r="E134" s="444"/>
      <c r="F134" s="444"/>
      <c r="G134" s="444"/>
      <c r="H134" s="444"/>
      <c r="I134" s="444"/>
      <c r="L134" s="420"/>
      <c r="M134" s="421"/>
      <c r="N134" s="422"/>
    </row>
    <row r="135" spans="1:14">
      <c r="A135" s="444"/>
      <c r="B135" s="444"/>
      <c r="C135" s="444"/>
      <c r="D135" s="444"/>
      <c r="E135" s="444"/>
      <c r="F135" s="444"/>
      <c r="G135" s="444"/>
      <c r="H135" s="444"/>
      <c r="I135" s="444"/>
      <c r="L135" s="420"/>
      <c r="M135" s="421"/>
      <c r="N135" s="422"/>
    </row>
    <row r="136" spans="1:14">
      <c r="A136" s="444"/>
      <c r="B136" s="444"/>
      <c r="C136" s="444"/>
      <c r="D136" s="444"/>
      <c r="E136" s="444"/>
      <c r="F136" s="444"/>
      <c r="G136" s="444"/>
      <c r="H136" s="444"/>
      <c r="I136" s="444"/>
      <c r="L136" s="420"/>
      <c r="M136" s="421"/>
      <c r="N136" s="422"/>
    </row>
    <row r="137" spans="1:14">
      <c r="A137" s="444"/>
      <c r="B137" s="444"/>
      <c r="C137" s="444"/>
      <c r="D137" s="444"/>
      <c r="E137" s="444"/>
      <c r="F137" s="444"/>
      <c r="G137" s="444"/>
      <c r="H137" s="444"/>
      <c r="I137" s="444"/>
      <c r="L137" s="420"/>
      <c r="M137" s="421"/>
      <c r="N137" s="422"/>
    </row>
    <row r="138" spans="1:14">
      <c r="A138" s="444"/>
      <c r="B138" s="444"/>
      <c r="C138" s="444"/>
      <c r="D138" s="444"/>
      <c r="E138" s="444"/>
      <c r="F138" s="444"/>
      <c r="G138" s="444"/>
      <c r="H138" s="444"/>
      <c r="I138" s="444"/>
      <c r="L138" s="420"/>
      <c r="M138" s="421"/>
      <c r="N138" s="422"/>
    </row>
    <row r="139" spans="1:14">
      <c r="A139" s="444"/>
      <c r="B139" s="444"/>
      <c r="C139" s="444"/>
      <c r="D139" s="444"/>
      <c r="E139" s="444"/>
      <c r="F139" s="444"/>
      <c r="G139" s="444"/>
      <c r="H139" s="444"/>
      <c r="I139" s="444"/>
      <c r="L139" s="420"/>
      <c r="M139" s="421"/>
      <c r="N139" s="422"/>
    </row>
    <row r="140" spans="1:14">
      <c r="A140" s="444"/>
      <c r="B140" s="444"/>
      <c r="C140" s="444"/>
      <c r="D140" s="444"/>
      <c r="E140" s="444"/>
      <c r="F140" s="444"/>
      <c r="G140" s="444"/>
      <c r="H140" s="444"/>
      <c r="I140" s="444"/>
      <c r="L140" s="420"/>
      <c r="M140" s="421"/>
      <c r="N140" s="422"/>
    </row>
    <row r="141" spans="1:14">
      <c r="A141" s="444"/>
      <c r="B141" s="444"/>
      <c r="C141" s="444"/>
      <c r="D141" s="444"/>
      <c r="E141" s="444"/>
      <c r="F141" s="444"/>
      <c r="G141" s="444"/>
      <c r="H141" s="444"/>
      <c r="I141" s="444"/>
      <c r="L141" s="420"/>
      <c r="M141" s="421"/>
      <c r="N141" s="422"/>
    </row>
    <row r="142" spans="1:14">
      <c r="A142" s="444"/>
      <c r="B142" s="444"/>
      <c r="C142" s="444"/>
      <c r="D142" s="444"/>
      <c r="E142" s="444"/>
      <c r="F142" s="444"/>
      <c r="G142" s="444"/>
      <c r="H142" s="444"/>
      <c r="I142" s="444"/>
      <c r="L142" s="420"/>
      <c r="M142" s="421"/>
      <c r="N142" s="422"/>
    </row>
    <row r="143" spans="1:14">
      <c r="A143" s="444"/>
      <c r="B143" s="444"/>
      <c r="C143" s="444"/>
      <c r="D143" s="444"/>
      <c r="E143" s="444"/>
      <c r="F143" s="444"/>
      <c r="G143" s="444"/>
      <c r="H143" s="444"/>
      <c r="I143" s="444"/>
      <c r="L143" s="420"/>
      <c r="M143" s="421"/>
      <c r="N143" s="422"/>
    </row>
    <row r="144" spans="1:14">
      <c r="A144" s="444"/>
      <c r="B144" s="444"/>
      <c r="C144" s="444"/>
      <c r="D144" s="444"/>
      <c r="E144" s="444"/>
      <c r="F144" s="444"/>
      <c r="G144" s="444"/>
      <c r="H144" s="444"/>
      <c r="I144" s="444"/>
      <c r="L144" s="420"/>
      <c r="M144" s="421"/>
      <c r="N144" s="422"/>
    </row>
    <row r="145" spans="1:14">
      <c r="A145" s="444"/>
      <c r="B145" s="444"/>
      <c r="C145" s="444"/>
      <c r="D145" s="444"/>
      <c r="E145" s="444"/>
      <c r="F145" s="444"/>
      <c r="G145" s="444"/>
      <c r="H145" s="444"/>
      <c r="I145" s="444"/>
      <c r="L145" s="420"/>
      <c r="M145" s="421"/>
      <c r="N145" s="422"/>
    </row>
    <row r="146" spans="1:14">
      <c r="A146" s="444"/>
      <c r="B146" s="444"/>
      <c r="C146" s="444"/>
      <c r="D146" s="444"/>
      <c r="E146" s="444"/>
      <c r="F146" s="444"/>
      <c r="G146" s="444"/>
      <c r="H146" s="444"/>
      <c r="I146" s="444"/>
      <c r="L146" s="420"/>
      <c r="M146" s="421"/>
      <c r="N146" s="422"/>
    </row>
    <row r="147" spans="1:14">
      <c r="A147" s="444"/>
      <c r="B147" s="444"/>
      <c r="C147" s="444"/>
      <c r="D147" s="444"/>
      <c r="E147" s="444"/>
      <c r="F147" s="444"/>
      <c r="G147" s="444"/>
      <c r="H147" s="444"/>
      <c r="I147" s="444"/>
      <c r="L147" s="420"/>
      <c r="M147" s="421"/>
      <c r="N147" s="422"/>
    </row>
    <row r="148" spans="1:14">
      <c r="A148" s="444"/>
      <c r="B148" s="444"/>
      <c r="C148" s="444"/>
      <c r="D148" s="444"/>
      <c r="E148" s="444"/>
      <c r="F148" s="444"/>
      <c r="G148" s="444"/>
      <c r="H148" s="444"/>
      <c r="I148" s="444"/>
      <c r="L148" s="420"/>
      <c r="M148" s="421"/>
      <c r="N148" s="422"/>
    </row>
    <row r="149" spans="1:14">
      <c r="A149" s="444"/>
      <c r="B149" s="444"/>
      <c r="C149" s="444"/>
      <c r="D149" s="444"/>
      <c r="E149" s="444"/>
      <c r="F149" s="444"/>
      <c r="G149" s="444"/>
      <c r="H149" s="444"/>
      <c r="I149" s="444"/>
      <c r="L149" s="420"/>
      <c r="M149" s="421"/>
      <c r="N149" s="422"/>
    </row>
    <row r="150" spans="1:14">
      <c r="A150" s="444"/>
      <c r="B150" s="444"/>
      <c r="C150" s="444"/>
      <c r="D150" s="444"/>
      <c r="E150" s="444"/>
      <c r="F150" s="444"/>
      <c r="G150" s="444"/>
      <c r="H150" s="444"/>
      <c r="I150" s="444"/>
      <c r="L150" s="420"/>
      <c r="M150" s="421"/>
      <c r="N150" s="422"/>
    </row>
    <row r="151" spans="1:14">
      <c r="A151" s="444"/>
      <c r="B151" s="444"/>
      <c r="C151" s="444"/>
      <c r="D151" s="444"/>
      <c r="E151" s="444"/>
      <c r="F151" s="444"/>
      <c r="G151" s="444"/>
      <c r="H151" s="444"/>
      <c r="I151" s="444"/>
      <c r="L151" s="420"/>
      <c r="M151" s="421"/>
      <c r="N151" s="422"/>
    </row>
    <row r="152" spans="1:14">
      <c r="A152" s="444"/>
      <c r="B152" s="444"/>
      <c r="C152" s="444"/>
      <c r="D152" s="444"/>
      <c r="E152" s="444"/>
      <c r="F152" s="444"/>
      <c r="G152" s="444"/>
      <c r="H152" s="444"/>
      <c r="I152" s="444"/>
      <c r="L152" s="420"/>
      <c r="M152" s="421"/>
      <c r="N152" s="422"/>
    </row>
    <row r="153" spans="1:14">
      <c r="A153" s="444"/>
      <c r="B153" s="444"/>
      <c r="C153" s="444"/>
      <c r="D153" s="444"/>
      <c r="E153" s="444"/>
      <c r="F153" s="444"/>
      <c r="G153" s="444"/>
      <c r="H153" s="444"/>
      <c r="I153" s="444"/>
      <c r="L153" s="420"/>
      <c r="M153" s="421"/>
      <c r="N153" s="422"/>
    </row>
    <row r="154" spans="1:14">
      <c r="A154" s="444"/>
      <c r="B154" s="444"/>
      <c r="C154" s="444"/>
      <c r="D154" s="444"/>
      <c r="E154" s="444"/>
      <c r="F154" s="444"/>
      <c r="G154" s="444"/>
      <c r="H154" s="444"/>
      <c r="I154" s="444"/>
      <c r="L154" s="420"/>
      <c r="M154" s="421"/>
      <c r="N154" s="422"/>
    </row>
    <row r="155" spans="1:14">
      <c r="A155" s="444"/>
      <c r="B155" s="444"/>
      <c r="C155" s="444"/>
      <c r="D155" s="444"/>
      <c r="E155" s="444"/>
      <c r="F155" s="444"/>
      <c r="G155" s="444"/>
      <c r="H155" s="444"/>
      <c r="I155" s="444"/>
      <c r="L155" s="420"/>
      <c r="M155" s="421"/>
      <c r="N155" s="422"/>
    </row>
    <row r="156" spans="1:14">
      <c r="A156" s="444"/>
      <c r="B156" s="444"/>
      <c r="C156" s="444"/>
      <c r="D156" s="444"/>
      <c r="E156" s="444"/>
      <c r="F156" s="444"/>
      <c r="G156" s="444"/>
      <c r="H156" s="444"/>
      <c r="I156" s="444"/>
      <c r="L156" s="420"/>
      <c r="M156" s="421"/>
      <c r="N156" s="422"/>
    </row>
    <row r="157" spans="1:14">
      <c r="A157" s="444"/>
      <c r="B157" s="444"/>
      <c r="C157" s="444"/>
      <c r="D157" s="444"/>
      <c r="E157" s="444"/>
      <c r="F157" s="444"/>
      <c r="G157" s="444"/>
      <c r="H157" s="444"/>
      <c r="I157" s="444"/>
      <c r="L157" s="420"/>
      <c r="M157" s="421"/>
      <c r="N157" s="422"/>
    </row>
    <row r="158" spans="1:14">
      <c r="A158" s="444"/>
      <c r="B158" s="444"/>
      <c r="C158" s="444"/>
      <c r="D158" s="444"/>
      <c r="E158" s="444"/>
      <c r="F158" s="444"/>
      <c r="G158" s="444"/>
      <c r="H158" s="444"/>
      <c r="I158" s="444"/>
      <c r="L158" s="420"/>
      <c r="M158" s="421"/>
      <c r="N158" s="422"/>
    </row>
    <row r="159" spans="1:14">
      <c r="A159" s="444"/>
      <c r="B159" s="444"/>
      <c r="C159" s="444"/>
      <c r="D159" s="444"/>
      <c r="E159" s="444"/>
      <c r="F159" s="444"/>
      <c r="G159" s="444"/>
      <c r="H159" s="444"/>
      <c r="I159" s="444"/>
      <c r="L159" s="420"/>
      <c r="M159" s="421"/>
      <c r="N159" s="422"/>
    </row>
    <row r="160" spans="1:14">
      <c r="A160" s="444"/>
      <c r="B160" s="444"/>
      <c r="C160" s="444"/>
      <c r="D160" s="444"/>
      <c r="E160" s="444"/>
      <c r="F160" s="444"/>
      <c r="G160" s="444"/>
      <c r="H160" s="444"/>
      <c r="I160" s="444"/>
      <c r="L160" s="420"/>
      <c r="M160" s="421"/>
      <c r="N160" s="422"/>
    </row>
    <row r="161" spans="1:14">
      <c r="A161" s="444"/>
      <c r="B161" s="444"/>
      <c r="C161" s="444"/>
      <c r="D161" s="444"/>
      <c r="E161" s="444"/>
      <c r="F161" s="444"/>
      <c r="G161" s="444"/>
      <c r="H161" s="444"/>
      <c r="I161" s="444"/>
      <c r="L161" s="420"/>
      <c r="M161" s="421"/>
      <c r="N161" s="422"/>
    </row>
    <row r="162" spans="1:14">
      <c r="A162" s="444"/>
      <c r="B162" s="444"/>
      <c r="C162" s="444"/>
      <c r="D162" s="444"/>
      <c r="E162" s="444"/>
      <c r="F162" s="444"/>
      <c r="G162" s="444"/>
      <c r="H162" s="444"/>
      <c r="I162" s="444"/>
      <c r="L162" s="420"/>
      <c r="M162" s="421"/>
      <c r="N162" s="422"/>
    </row>
    <row r="163" spans="1:14">
      <c r="A163" s="444"/>
      <c r="B163" s="444"/>
      <c r="C163" s="444"/>
      <c r="D163" s="444"/>
      <c r="E163" s="444"/>
      <c r="F163" s="444"/>
      <c r="G163" s="444"/>
      <c r="H163" s="444"/>
      <c r="I163" s="444"/>
      <c r="L163" s="420"/>
      <c r="M163" s="421"/>
      <c r="N163" s="422"/>
    </row>
    <row r="164" spans="1:14">
      <c r="A164" s="444"/>
      <c r="B164" s="444"/>
      <c r="C164" s="444"/>
      <c r="D164" s="444"/>
      <c r="E164" s="444"/>
      <c r="F164" s="444"/>
      <c r="G164" s="444"/>
      <c r="H164" s="444"/>
      <c r="I164" s="444"/>
      <c r="L164" s="420"/>
      <c r="M164" s="421"/>
      <c r="N164" s="422"/>
    </row>
    <row r="165" spans="1:14">
      <c r="A165" s="444"/>
      <c r="B165" s="444"/>
      <c r="C165" s="444"/>
      <c r="D165" s="444"/>
      <c r="E165" s="444"/>
      <c r="F165" s="444"/>
      <c r="G165" s="444"/>
      <c r="H165" s="444"/>
      <c r="I165" s="444"/>
      <c r="L165" s="420"/>
      <c r="M165" s="421"/>
      <c r="N165" s="422"/>
    </row>
    <row r="166" spans="1:14">
      <c r="A166" s="444"/>
      <c r="B166" s="444"/>
      <c r="C166" s="444"/>
      <c r="D166" s="444"/>
      <c r="E166" s="444"/>
      <c r="F166" s="444"/>
      <c r="G166" s="444"/>
      <c r="H166" s="444"/>
      <c r="I166" s="444"/>
      <c r="L166" s="420"/>
      <c r="M166" s="421"/>
      <c r="N166" s="422"/>
    </row>
    <row r="167" spans="1:14">
      <c r="A167" s="444"/>
      <c r="B167" s="444"/>
      <c r="C167" s="444"/>
      <c r="D167" s="444"/>
      <c r="E167" s="444"/>
      <c r="F167" s="444"/>
      <c r="G167" s="444"/>
      <c r="H167" s="444"/>
      <c r="I167" s="444"/>
      <c r="L167" s="420"/>
      <c r="M167" s="421"/>
      <c r="N167" s="422"/>
    </row>
    <row r="168" spans="1:14">
      <c r="A168" s="444"/>
      <c r="B168" s="444"/>
      <c r="C168" s="444"/>
      <c r="D168" s="444"/>
      <c r="E168" s="444"/>
      <c r="F168" s="444"/>
      <c r="G168" s="444"/>
      <c r="H168" s="444"/>
      <c r="I168" s="444"/>
      <c r="L168" s="420"/>
      <c r="M168" s="421"/>
      <c r="N168" s="422"/>
    </row>
    <row r="169" spans="1:14">
      <c r="A169" s="444"/>
      <c r="B169" s="444"/>
      <c r="C169" s="444"/>
      <c r="D169" s="444"/>
      <c r="E169" s="444"/>
      <c r="F169" s="444"/>
      <c r="G169" s="444"/>
      <c r="H169" s="444"/>
      <c r="I169" s="444"/>
      <c r="L169" s="420"/>
      <c r="M169" s="421"/>
      <c r="N169" s="422"/>
    </row>
    <row r="170" spans="1:14">
      <c r="A170" s="444"/>
      <c r="B170" s="444"/>
      <c r="C170" s="444"/>
      <c r="D170" s="444"/>
      <c r="E170" s="444"/>
      <c r="F170" s="444"/>
      <c r="G170" s="444"/>
      <c r="H170" s="444"/>
      <c r="I170" s="444"/>
      <c r="L170" s="420"/>
      <c r="M170" s="421"/>
      <c r="N170" s="422"/>
    </row>
    <row r="171" spans="1:14">
      <c r="A171" s="444"/>
      <c r="B171" s="444"/>
      <c r="C171" s="444"/>
      <c r="D171" s="444"/>
      <c r="E171" s="444"/>
      <c r="F171" s="444"/>
      <c r="G171" s="444"/>
      <c r="H171" s="444"/>
      <c r="I171" s="444"/>
      <c r="L171" s="420"/>
      <c r="M171" s="421"/>
      <c r="N171" s="422"/>
    </row>
    <row r="172" spans="1:14">
      <c r="A172" s="444"/>
      <c r="B172" s="444"/>
      <c r="C172" s="444"/>
      <c r="D172" s="444"/>
      <c r="E172" s="444"/>
      <c r="F172" s="444"/>
      <c r="G172" s="444"/>
      <c r="H172" s="444"/>
      <c r="I172" s="444"/>
      <c r="L172" s="420"/>
      <c r="M172" s="421"/>
      <c r="N172" s="422"/>
    </row>
    <row r="173" spans="1:14">
      <c r="A173" s="444"/>
      <c r="B173" s="444"/>
      <c r="C173" s="444"/>
      <c r="D173" s="444"/>
      <c r="E173" s="444"/>
      <c r="F173" s="444"/>
      <c r="G173" s="444"/>
      <c r="H173" s="444"/>
      <c r="I173" s="444"/>
      <c r="L173" s="420"/>
      <c r="M173" s="421"/>
      <c r="N173" s="422"/>
    </row>
    <row r="174" spans="1:14">
      <c r="A174" s="444"/>
      <c r="B174" s="444"/>
      <c r="C174" s="444"/>
      <c r="D174" s="444"/>
      <c r="E174" s="444"/>
      <c r="F174" s="444"/>
      <c r="G174" s="444"/>
      <c r="H174" s="444"/>
      <c r="I174" s="444"/>
      <c r="L174" s="420"/>
      <c r="M174" s="421"/>
      <c r="N174" s="422"/>
    </row>
    <row r="175" spans="1:14">
      <c r="A175" s="444"/>
      <c r="B175" s="444"/>
      <c r="C175" s="444"/>
      <c r="D175" s="444"/>
      <c r="E175" s="444"/>
      <c r="F175" s="444"/>
      <c r="G175" s="444"/>
      <c r="H175" s="444"/>
      <c r="I175" s="444"/>
      <c r="L175" s="420"/>
      <c r="M175" s="421"/>
      <c r="N175" s="422"/>
    </row>
    <row r="176" spans="1:14">
      <c r="A176" s="444"/>
      <c r="B176" s="444"/>
      <c r="C176" s="444"/>
      <c r="D176" s="444"/>
      <c r="E176" s="444"/>
      <c r="F176" s="444"/>
      <c r="G176" s="444"/>
      <c r="H176" s="444"/>
      <c r="I176" s="444"/>
      <c r="L176" s="420"/>
      <c r="M176" s="421"/>
      <c r="N176" s="422"/>
    </row>
    <row r="177" spans="1:14">
      <c r="A177" s="444"/>
      <c r="B177" s="444"/>
      <c r="C177" s="444"/>
      <c r="D177" s="444"/>
      <c r="E177" s="444"/>
      <c r="F177" s="444"/>
      <c r="G177" s="444"/>
      <c r="H177" s="444"/>
      <c r="I177" s="444"/>
      <c r="L177" s="420"/>
      <c r="M177" s="421"/>
      <c r="N177" s="422"/>
    </row>
    <row r="178" spans="1:14">
      <c r="A178" s="444"/>
      <c r="B178" s="444"/>
      <c r="C178" s="444"/>
      <c r="D178" s="444"/>
      <c r="E178" s="444"/>
      <c r="F178" s="444"/>
      <c r="G178" s="444"/>
      <c r="H178" s="444"/>
      <c r="I178" s="444"/>
      <c r="L178" s="420"/>
      <c r="M178" s="421"/>
      <c r="N178" s="422"/>
    </row>
    <row r="179" spans="1:14">
      <c r="L179" s="420"/>
      <c r="M179" s="421"/>
      <c r="N179" s="422"/>
    </row>
    <row r="180" spans="1:14">
      <c r="L180" s="420"/>
      <c r="M180" s="421"/>
      <c r="N180" s="422"/>
    </row>
    <row r="181" spans="1:14">
      <c r="L181" s="420"/>
      <c r="M181" s="421"/>
      <c r="N181" s="422"/>
    </row>
    <row r="182" spans="1:14">
      <c r="L182" s="420"/>
      <c r="M182" s="421"/>
      <c r="N182" s="422"/>
    </row>
    <row r="183" spans="1:14">
      <c r="L183" s="420"/>
      <c r="M183" s="421"/>
      <c r="N183" s="422"/>
    </row>
    <row r="184" spans="1:14">
      <c r="L184" s="420"/>
      <c r="M184" s="421"/>
      <c r="N184" s="422"/>
    </row>
    <row r="185" spans="1:14">
      <c r="L185" s="420"/>
      <c r="M185" s="421"/>
      <c r="N185" s="422"/>
    </row>
    <row r="186" spans="1:14">
      <c r="L186" s="420"/>
      <c r="M186" s="421"/>
      <c r="N186" s="422"/>
    </row>
    <row r="187" spans="1:14">
      <c r="L187" s="420"/>
      <c r="M187" s="421"/>
      <c r="N187" s="422"/>
    </row>
    <row r="188" spans="1:14">
      <c r="L188" s="420"/>
      <c r="M188" s="421"/>
      <c r="N188" s="422"/>
    </row>
    <row r="189" spans="1:14">
      <c r="L189" s="420"/>
      <c r="M189" s="421"/>
      <c r="N189" s="422"/>
    </row>
    <row r="190" spans="1:14">
      <c r="L190" s="420"/>
      <c r="M190" s="421"/>
      <c r="N190" s="422"/>
    </row>
    <row r="191" spans="1:14">
      <c r="L191" s="420"/>
      <c r="M191" s="421"/>
      <c r="N191" s="422"/>
    </row>
    <row r="192" spans="1:14">
      <c r="L192" s="420"/>
      <c r="M192" s="421"/>
      <c r="N192" s="422"/>
    </row>
    <row r="193" spans="12:14">
      <c r="L193" s="420"/>
      <c r="M193" s="421"/>
      <c r="N193" s="422"/>
    </row>
    <row r="194" spans="12:14">
      <c r="L194" s="420"/>
      <c r="M194" s="421"/>
      <c r="N194" s="422"/>
    </row>
    <row r="195" spans="12:14">
      <c r="L195" s="420"/>
      <c r="M195" s="421"/>
      <c r="N195" s="422"/>
    </row>
    <row r="196" spans="12:14">
      <c r="L196" s="420"/>
      <c r="M196" s="421"/>
      <c r="N196" s="422"/>
    </row>
    <row r="197" spans="12:14">
      <c r="L197" s="420"/>
      <c r="M197" s="421"/>
      <c r="N197" s="422"/>
    </row>
    <row r="198" spans="12:14">
      <c r="L198" s="420"/>
      <c r="M198" s="421"/>
      <c r="N198" s="422"/>
    </row>
    <row r="199" spans="12:14">
      <c r="L199" s="420"/>
      <c r="M199" s="421"/>
      <c r="N199" s="422"/>
    </row>
    <row r="200" spans="12:14">
      <c r="L200" s="420"/>
      <c r="M200" s="421"/>
      <c r="N200" s="422"/>
    </row>
    <row r="201" spans="12:14">
      <c r="L201" s="420"/>
      <c r="M201" s="421"/>
      <c r="N201" s="422"/>
    </row>
    <row r="202" spans="12:14">
      <c r="L202" s="420"/>
      <c r="M202" s="421"/>
      <c r="N202" s="422"/>
    </row>
    <row r="203" spans="12:14">
      <c r="L203" s="420"/>
      <c r="M203" s="421"/>
      <c r="N203" s="422"/>
    </row>
    <row r="204" spans="12:14">
      <c r="L204" s="420"/>
      <c r="M204" s="421"/>
      <c r="N204" s="422"/>
    </row>
    <row r="205" spans="12:14">
      <c r="L205" s="420"/>
      <c r="M205" s="421"/>
      <c r="N205" s="422"/>
    </row>
    <row r="206" spans="12:14">
      <c r="L206" s="420"/>
      <c r="M206" s="421"/>
      <c r="N206" s="422"/>
    </row>
    <row r="207" spans="12:14">
      <c r="L207" s="420"/>
      <c r="M207" s="421"/>
      <c r="N207" s="422"/>
    </row>
    <row r="208" spans="12:14">
      <c r="L208" s="420"/>
      <c r="M208" s="421"/>
      <c r="N208" s="422"/>
    </row>
    <row r="209" spans="12:14">
      <c r="L209" s="420"/>
      <c r="M209" s="421"/>
      <c r="N209" s="422"/>
    </row>
    <row r="210" spans="12:14">
      <c r="L210" s="420"/>
      <c r="M210" s="421"/>
      <c r="N210" s="422"/>
    </row>
    <row r="211" spans="12:14">
      <c r="L211" s="420"/>
      <c r="M211" s="421"/>
      <c r="N211" s="422"/>
    </row>
    <row r="212" spans="12:14">
      <c r="L212" s="420"/>
      <c r="M212" s="421"/>
      <c r="N212" s="422"/>
    </row>
    <row r="213" spans="12:14">
      <c r="L213" s="420"/>
      <c r="M213" s="421"/>
      <c r="N213" s="422"/>
    </row>
    <row r="214" spans="12:14">
      <c r="L214" s="420"/>
      <c r="M214" s="421"/>
      <c r="N214" s="422"/>
    </row>
    <row r="215" spans="12:14">
      <c r="L215" s="420"/>
      <c r="M215" s="421"/>
      <c r="N215" s="422"/>
    </row>
    <row r="216" spans="12:14">
      <c r="L216" s="420"/>
      <c r="M216" s="421"/>
      <c r="N216" s="422"/>
    </row>
    <row r="217" spans="12:14">
      <c r="L217" s="420"/>
      <c r="M217" s="421"/>
      <c r="N217" s="422"/>
    </row>
    <row r="218" spans="12:14">
      <c r="L218" s="420"/>
      <c r="M218" s="421"/>
      <c r="N218" s="422"/>
    </row>
    <row r="219" spans="12:14">
      <c r="L219" s="420"/>
      <c r="M219" s="421"/>
      <c r="N219" s="422"/>
    </row>
    <row r="220" spans="12:14">
      <c r="L220" s="420"/>
      <c r="M220" s="421"/>
      <c r="N220" s="422"/>
    </row>
    <row r="221" spans="12:14">
      <c r="L221" s="420"/>
      <c r="M221" s="421"/>
      <c r="N221" s="422"/>
    </row>
  </sheetData>
  <mergeCells count="22">
    <mergeCell ref="F96:G96"/>
    <mergeCell ref="E8:I8"/>
    <mergeCell ref="E9:F10"/>
    <mergeCell ref="E33:I33"/>
    <mergeCell ref="E35:I35"/>
    <mergeCell ref="F65:G65"/>
    <mergeCell ref="F72:G72"/>
    <mergeCell ref="F81:G81"/>
    <mergeCell ref="F88:G88"/>
    <mergeCell ref="R9:V10"/>
    <mergeCell ref="R11:R12"/>
    <mergeCell ref="S11:S12"/>
    <mergeCell ref="U11:U12"/>
    <mergeCell ref="V11:V12"/>
    <mergeCell ref="L8:N8"/>
    <mergeCell ref="F63:H64"/>
    <mergeCell ref="F79:H80"/>
    <mergeCell ref="I63:I64"/>
    <mergeCell ref="F17:I17"/>
    <mergeCell ref="F25:I25"/>
    <mergeCell ref="E43:I43"/>
    <mergeCell ref="E53:I53"/>
  </mergeCells>
  <pageMargins left="0.75" right="0.75" top="1" bottom="1" header="0.5" footer="0.5"/>
  <pageSetup scale="4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2AB5-4960-4970-8684-4EB295BFBEC0}">
  <dimension ref="A1:E13"/>
  <sheetViews>
    <sheetView tabSelected="1" zoomScale="70" zoomScaleNormal="70" workbookViewId="0">
      <selection activeCell="C5" sqref="C5"/>
    </sheetView>
  </sheetViews>
  <sheetFormatPr defaultRowHeight="14.5"/>
  <cols>
    <col min="1" max="1" width="67.36328125" style="751" customWidth="1"/>
    <col min="2" max="5" width="41.26953125" style="751" customWidth="1"/>
    <col min="6" max="16384" width="8.7265625" style="751"/>
  </cols>
  <sheetData>
    <row r="1" spans="1:5" ht="35.5">
      <c r="A1" s="749" t="s">
        <v>427</v>
      </c>
      <c r="B1" s="750"/>
      <c r="C1" s="750"/>
      <c r="D1" s="750"/>
      <c r="E1" s="750"/>
    </row>
    <row r="2" spans="1:5" ht="15" thickBot="1">
      <c r="A2" s="752"/>
      <c r="B2" s="750"/>
      <c r="C2" s="750"/>
      <c r="D2" s="750"/>
      <c r="E2" s="750"/>
    </row>
    <row r="3" spans="1:5" ht="34" thickBot="1">
      <c r="A3" s="753" t="s">
        <v>428</v>
      </c>
      <c r="B3" s="754"/>
      <c r="C3" s="745">
        <v>15000</v>
      </c>
      <c r="D3" s="750"/>
      <c r="E3" s="750"/>
    </row>
    <row r="4" spans="1:5" ht="28.5" thickBot="1">
      <c r="A4" s="755"/>
      <c r="B4" s="755"/>
      <c r="C4" s="750"/>
      <c r="D4" s="750"/>
      <c r="E4" s="750"/>
    </row>
    <row r="5" spans="1:5" ht="34" thickBot="1">
      <c r="A5" s="753" t="s">
        <v>429</v>
      </c>
      <c r="B5" s="754"/>
      <c r="C5" s="745">
        <v>8000</v>
      </c>
      <c r="D5" s="750"/>
      <c r="E5" s="750"/>
    </row>
    <row r="6" spans="1:5">
      <c r="A6" s="752"/>
      <c r="B6" s="750"/>
      <c r="C6" s="750"/>
      <c r="D6" s="750"/>
      <c r="E6" s="750"/>
    </row>
    <row r="7" spans="1:5">
      <c r="A7" s="752"/>
      <c r="B7" s="750"/>
      <c r="C7" s="750"/>
      <c r="D7" s="750"/>
      <c r="E7" s="750"/>
    </row>
    <row r="8" spans="1:5">
      <c r="A8" s="752"/>
      <c r="B8" s="750"/>
      <c r="C8" s="750"/>
      <c r="D8" s="750"/>
      <c r="E8" s="750"/>
    </row>
    <row r="9" spans="1:5" ht="28.5">
      <c r="A9" s="756" t="s">
        <v>430</v>
      </c>
      <c r="B9" s="746" t="s">
        <v>339</v>
      </c>
      <c r="C9" s="746" t="s">
        <v>340</v>
      </c>
      <c r="D9" s="746" t="s">
        <v>341</v>
      </c>
      <c r="E9" s="746" t="s">
        <v>342</v>
      </c>
    </row>
    <row r="10" spans="1:5" ht="28.5">
      <c r="A10" s="756" t="s">
        <v>431</v>
      </c>
      <c r="B10" s="747">
        <v>0.15</v>
      </c>
      <c r="C10" s="747">
        <v>0.12</v>
      </c>
      <c r="D10" s="747">
        <v>0.12</v>
      </c>
      <c r="E10" s="747">
        <v>0.12</v>
      </c>
    </row>
    <row r="11" spans="1:5" ht="28.5">
      <c r="A11" s="756" t="s">
        <v>432</v>
      </c>
      <c r="B11" s="748">
        <f>IF('GOV''T AGENCIES'!F51&lt;48,0,ROUNDDOWN(-PV(B10/12,48,'GOV''T AGENCIES'!F50),-3))</f>
        <v>0</v>
      </c>
      <c r="C11" s="748">
        <f>ROUNDDOWN(-PV(C10/12,36,'GOV''T AGENCIES'!F50),-3)</f>
        <v>60000</v>
      </c>
      <c r="D11" s="748">
        <f>ROUNDDOWN(-PV(D10/12,24,'GOV''T AGENCIES'!F50),-3)</f>
        <v>42000</v>
      </c>
      <c r="E11" s="748">
        <f>ROUNDDOWN(-PV(E10/12,12,'GOV''T AGENCIES'!F50),-3)</f>
        <v>22000</v>
      </c>
    </row>
    <row r="12" spans="1:5" ht="28.5">
      <c r="A12" s="756" t="s">
        <v>433</v>
      </c>
      <c r="B12" s="748">
        <f>-PMT(B10/12,48,B11)</f>
        <v>0</v>
      </c>
      <c r="C12" s="748">
        <f>-PMT(C10/12,36,C11)</f>
        <v>1992.8585887710715</v>
      </c>
      <c r="D12" s="748">
        <f>-PMT(D10/12,24,D11)</f>
        <v>1977.0858333771175</v>
      </c>
      <c r="E12" s="748">
        <f>-PMT(E10/12,12,E11)</f>
        <v>1954.6733509235171</v>
      </c>
    </row>
    <row r="13" spans="1:5" ht="28.5">
      <c r="A13" s="756" t="s">
        <v>434</v>
      </c>
      <c r="B13" s="748">
        <f ca="1">B11-'GOV''T AGENCIES'!F14-'GOV''T AGENCIES'!F41-'GOV''T AGENCIES'!H15</f>
        <v>0</v>
      </c>
      <c r="C13" s="748">
        <f ca="1">C11-'GOV''T AGENCIES'!F14-'GOV''T AGENCIES'!G41-'GOV''T AGENCIES'!H15</f>
        <v>57911.8</v>
      </c>
      <c r="D13" s="748">
        <f ca="1">D11-'GOV''T AGENCIES'!F14-'GOV''T AGENCIES'!H41-'GOV''T AGENCIES'!H15</f>
        <v>40715.5</v>
      </c>
      <c r="E13" s="748">
        <f ca="1">E11-'GOV''T AGENCIES'!F14-'GOV''T AGENCIES'!I41-'GOV''T AGENCIES'!H15</f>
        <v>21380.406666666666</v>
      </c>
    </row>
  </sheetData>
  <sheetProtection sheet="1" objects="1" scenarios="1" selectLockedCells="1"/>
  <mergeCells count="2">
    <mergeCell ref="A3:B3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AV181"/>
  <sheetViews>
    <sheetView topLeftCell="E8" zoomScale="50" zoomScaleNormal="50" zoomScaleSheetLayoutView="70" workbookViewId="0">
      <selection activeCell="G18" sqref="G18"/>
    </sheetView>
  </sheetViews>
  <sheetFormatPr defaultRowHeight="23.5" outlineLevelRow="1" outlineLevelCol="1"/>
  <cols>
    <col min="1" max="4" width="9.1796875" style="339" hidden="1" customWidth="1" outlineLevel="1"/>
    <col min="5" max="5" width="92" style="339" customWidth="1" collapsed="1"/>
    <col min="6" max="6" width="37.81640625" style="339" bestFit="1" customWidth="1"/>
    <col min="7" max="7" width="38.7265625" style="339" customWidth="1"/>
    <col min="8" max="8" width="26.54296875" style="339" customWidth="1"/>
    <col min="9" max="9" width="26.26953125" style="339" customWidth="1"/>
    <col min="10" max="10" width="3.453125" style="419" customWidth="1"/>
    <col min="11" max="11" width="1.26953125" style="419" customWidth="1"/>
    <col min="12" max="12" width="24.26953125" style="388" bestFit="1" customWidth="1"/>
    <col min="13" max="13" width="24.7265625" style="389" customWidth="1"/>
    <col min="14" max="14" width="32.453125" style="402" customWidth="1"/>
    <col min="15" max="15" width="18.453125" style="419" customWidth="1"/>
    <col min="16" max="16" width="15.1796875" style="419" customWidth="1"/>
    <col min="17" max="44" width="8.7265625" style="419"/>
  </cols>
  <sheetData>
    <row r="1" spans="1:48" s="419" customFormat="1">
      <c r="L1" s="420"/>
      <c r="M1" s="421"/>
      <c r="N1" s="422"/>
    </row>
    <row r="2" spans="1:48" s="419" customFormat="1">
      <c r="L2" s="420"/>
      <c r="M2" s="421"/>
      <c r="N2" s="422"/>
    </row>
    <row r="3" spans="1:48" s="419" customFormat="1">
      <c r="L3" s="420"/>
      <c r="M3" s="421"/>
      <c r="N3" s="422"/>
    </row>
    <row r="4" spans="1:48" s="419" customFormat="1">
      <c r="L4" s="420"/>
      <c r="M4" s="421"/>
      <c r="N4" s="422"/>
    </row>
    <row r="5" spans="1:48" s="419" customFormat="1">
      <c r="L5" s="420"/>
      <c r="M5" s="421"/>
      <c r="N5" s="422"/>
    </row>
    <row r="6" spans="1:48" s="419" customFormat="1">
      <c r="L6" s="420"/>
      <c r="M6" s="421"/>
      <c r="N6" s="422"/>
    </row>
    <row r="7" spans="1:48" s="419" customFormat="1" ht="24" thickBot="1">
      <c r="L7" s="420"/>
      <c r="M7" s="421"/>
      <c r="N7" s="422"/>
    </row>
    <row r="8" spans="1:48" s="152" customFormat="1" ht="100.5" customHeight="1">
      <c r="A8" s="357"/>
      <c r="B8" s="357"/>
      <c r="C8" s="357"/>
      <c r="D8" s="357"/>
      <c r="E8" s="631" t="s">
        <v>391</v>
      </c>
      <c r="F8" s="632"/>
      <c r="G8" s="632"/>
      <c r="H8" s="632"/>
      <c r="I8" s="633"/>
      <c r="J8" s="423"/>
      <c r="K8" s="423"/>
      <c r="L8" s="424"/>
      <c r="M8" s="425"/>
      <c r="N8" s="426" t="s">
        <v>58</v>
      </c>
      <c r="O8" s="423"/>
      <c r="P8" s="423"/>
      <c r="Q8" s="423"/>
      <c r="R8" s="423"/>
      <c r="S8" s="423"/>
      <c r="T8" s="423"/>
      <c r="U8" s="423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  <c r="AG8" s="423"/>
      <c r="AH8" s="423"/>
      <c r="AI8" s="423"/>
      <c r="AJ8" s="423"/>
      <c r="AK8" s="423"/>
      <c r="AL8" s="423"/>
      <c r="AM8" s="423"/>
      <c r="AN8" s="423"/>
      <c r="AO8" s="423"/>
      <c r="AP8" s="423"/>
      <c r="AQ8" s="423"/>
      <c r="AR8" s="423"/>
      <c r="AS8" s="423"/>
      <c r="AT8" s="423"/>
      <c r="AU8" s="423"/>
      <c r="AV8" s="423"/>
    </row>
    <row r="9" spans="1:48" ht="29" thickBot="1">
      <c r="E9" s="634" t="s">
        <v>387</v>
      </c>
      <c r="F9" s="635"/>
      <c r="G9" s="419"/>
      <c r="H9" s="419"/>
      <c r="I9" s="429"/>
      <c r="L9" s="420"/>
      <c r="M9" s="421"/>
      <c r="N9" s="427" t="s">
        <v>376</v>
      </c>
      <c r="AS9" s="419"/>
      <c r="AT9" s="419"/>
      <c r="AU9" s="419"/>
      <c r="AV9" s="419"/>
    </row>
    <row r="10" spans="1:48" ht="52" customHeight="1" thickBot="1">
      <c r="E10" s="634"/>
      <c r="F10" s="635"/>
      <c r="G10" s="466" t="s">
        <v>389</v>
      </c>
      <c r="H10" s="467" t="s">
        <v>384</v>
      </c>
      <c r="I10" s="468" t="s">
        <v>385</v>
      </c>
      <c r="L10" s="474" t="s">
        <v>375</v>
      </c>
      <c r="M10" s="492">
        <f>F37</f>
        <v>20000</v>
      </c>
      <c r="N10" s="477" t="str">
        <f>IF(F36&lt;F34,"BASED ON IGIR","BASED ON NTHP")</f>
        <v>BASED ON IGIR</v>
      </c>
    </row>
    <row r="11" spans="1:48" ht="34" thickBot="1">
      <c r="E11" s="480" t="s">
        <v>388</v>
      </c>
      <c r="F11" s="464">
        <v>1</v>
      </c>
      <c r="G11" s="469" t="s">
        <v>380</v>
      </c>
      <c r="H11" s="418">
        <v>40000</v>
      </c>
      <c r="I11" s="470">
        <v>3000</v>
      </c>
      <c r="L11" s="420"/>
      <c r="M11" s="421"/>
      <c r="N11" s="427" t="s">
        <v>378</v>
      </c>
    </row>
    <row r="12" spans="1:48" ht="34" thickBot="1">
      <c r="E12" s="471" t="s">
        <v>333</v>
      </c>
      <c r="F12" s="465">
        <v>50000</v>
      </c>
      <c r="G12" s="471" t="s">
        <v>381</v>
      </c>
      <c r="H12" s="417">
        <v>50000</v>
      </c>
      <c r="I12" s="472">
        <v>2000</v>
      </c>
      <c r="L12" s="475" t="s">
        <v>371</v>
      </c>
      <c r="M12" s="399">
        <v>759400</v>
      </c>
      <c r="N12" s="478">
        <f>(0.97912334*M12-F14)-H15</f>
        <v>593546.26439599996</v>
      </c>
      <c r="O12" s="428"/>
    </row>
    <row r="13" spans="1:48" ht="34" thickBot="1">
      <c r="E13" s="471" t="s">
        <v>345</v>
      </c>
      <c r="F13" s="465">
        <v>30000</v>
      </c>
      <c r="G13" s="471" t="s">
        <v>382</v>
      </c>
      <c r="H13" s="417">
        <v>30000</v>
      </c>
      <c r="I13" s="472">
        <v>3000</v>
      </c>
      <c r="L13" s="439" t="s">
        <v>336</v>
      </c>
      <c r="M13" s="440" t="s">
        <v>372</v>
      </c>
      <c r="N13" s="427" t="s">
        <v>377</v>
      </c>
    </row>
    <row r="14" spans="1:48" ht="34" thickBot="1">
      <c r="E14" s="471" t="s">
        <v>334</v>
      </c>
      <c r="F14" s="465">
        <v>0</v>
      </c>
      <c r="G14" s="471" t="s">
        <v>383</v>
      </c>
      <c r="H14" s="417">
        <v>30000</v>
      </c>
      <c r="I14" s="472">
        <v>2000</v>
      </c>
      <c r="L14" s="489" t="s">
        <v>339</v>
      </c>
      <c r="M14" s="490">
        <f>-PMT(F18/12,48,M12)</f>
        <v>19997.914627005946</v>
      </c>
      <c r="N14" s="479" t="str">
        <f>IF(M14&gt;$M$10,"CANNOT BE","OK")</f>
        <v>OK</v>
      </c>
    </row>
    <row r="15" spans="1:48" ht="34" thickBot="1">
      <c r="E15" s="471" t="s">
        <v>335</v>
      </c>
      <c r="F15" s="465">
        <v>0</v>
      </c>
      <c r="G15" s="473" t="s">
        <v>386</v>
      </c>
      <c r="H15" s="487">
        <f>SUM(H11:H14)</f>
        <v>150000</v>
      </c>
      <c r="I15" s="488">
        <f>SUM(I11:I14)</f>
        <v>10000</v>
      </c>
      <c r="L15" s="489" t="s">
        <v>340</v>
      </c>
      <c r="M15" s="490">
        <f>-PMT(G18/12,36,M12)</f>
        <v>24503.701955000186</v>
      </c>
      <c r="N15" s="479" t="str">
        <f>IF(M15&gt;$M$10,"CANNOT BE","OK")</f>
        <v>CANNOT BE</v>
      </c>
    </row>
    <row r="16" spans="1:48" ht="34" thickBot="1">
      <c r="E16" s="430"/>
      <c r="F16" s="431"/>
      <c r="G16" s="432"/>
      <c r="H16" s="432"/>
      <c r="I16" s="433"/>
      <c r="L16" s="489" t="s">
        <v>341</v>
      </c>
      <c r="M16" s="490">
        <f>-PMT(H18/12,24,M12)</f>
        <v>35042.457060710032</v>
      </c>
      <c r="N16" s="479" t="str">
        <f>IF(M16&gt;$M$10,"CANNOT BE","OK")</f>
        <v>CANNOT BE</v>
      </c>
    </row>
    <row r="17" spans="1:14" ht="29" thickBot="1">
      <c r="E17" s="471" t="s">
        <v>336</v>
      </c>
      <c r="F17" s="481" t="s">
        <v>339</v>
      </c>
      <c r="G17" s="481" t="s">
        <v>340</v>
      </c>
      <c r="H17" s="481" t="s">
        <v>341</v>
      </c>
      <c r="I17" s="482" t="s">
        <v>342</v>
      </c>
      <c r="L17" s="489" t="s">
        <v>342</v>
      </c>
      <c r="M17" s="490">
        <f>-PMT(I18/12,12,M12)</f>
        <v>66763.324762469289</v>
      </c>
      <c r="N17" s="479" t="str">
        <f>IF(M17&gt;$M$10,"CANNOT BE","OK")</f>
        <v>CANNOT BE</v>
      </c>
    </row>
    <row r="18" spans="1:14" ht="29" thickBot="1">
      <c r="E18" s="471" t="s">
        <v>357</v>
      </c>
      <c r="F18" s="483">
        <v>0.12</v>
      </c>
      <c r="G18" s="483">
        <v>0.1</v>
      </c>
      <c r="H18" s="483">
        <v>0.1</v>
      </c>
      <c r="I18" s="483">
        <v>0.1</v>
      </c>
      <c r="L18" s="441"/>
      <c r="M18" s="442"/>
      <c r="N18" s="422"/>
    </row>
    <row r="19" spans="1:14" ht="29" thickBot="1">
      <c r="E19" s="471" t="s">
        <v>346</v>
      </c>
      <c r="F19" s="486">
        <f>ROUNDDOWN(-PV(F18/12,48,F37),-2)</f>
        <v>759400</v>
      </c>
      <c r="G19" s="486">
        <f>ROUNDDOWN(-PV(G18/12,36,F37),-2)</f>
        <v>619800</v>
      </c>
      <c r="H19" s="486">
        <f>ROUNDDOWN(-PV(H18/12,24,F37),-2)</f>
        <v>433400</v>
      </c>
      <c r="I19" s="486">
        <f>ROUNDDOWN(-PV(I18/12,12,F37),-2)</f>
        <v>227400</v>
      </c>
      <c r="L19" s="476" t="s">
        <v>372</v>
      </c>
      <c r="M19" s="493">
        <v>19997.91</v>
      </c>
      <c r="N19" s="494" t="str">
        <f>IF(M19&gt;M10,"CANNOT BE","OK")</f>
        <v>OK</v>
      </c>
    </row>
    <row r="20" spans="1:14" ht="29" thickBot="1">
      <c r="E20" s="471" t="s">
        <v>337</v>
      </c>
      <c r="F20" s="484">
        <f>-PMT(F18/12,48,F19)</f>
        <v>19997.914627005946</v>
      </c>
      <c r="G20" s="484">
        <f>-PMT(G18/12,36,G19)</f>
        <v>19999.202622740475</v>
      </c>
      <c r="H20" s="484">
        <f>-PMT(H18/12,24,H19)</f>
        <v>19999.21107467965</v>
      </c>
      <c r="I20" s="484">
        <f>-PMT(I18/12,12,I19)</f>
        <v>19992.072756104182</v>
      </c>
      <c r="L20" s="439" t="s">
        <v>336</v>
      </c>
      <c r="M20" s="443" t="s">
        <v>373</v>
      </c>
      <c r="N20" s="427" t="s">
        <v>378</v>
      </c>
    </row>
    <row r="21" spans="1:14" ht="29" thickBot="1">
      <c r="E21" s="471" t="s">
        <v>343</v>
      </c>
      <c r="F21" s="486">
        <f>F19-F14-F31-H15</f>
        <v>595066.14</v>
      </c>
      <c r="G21" s="486">
        <f>G19-F14-G31-H15</f>
        <v>459598.00800000003</v>
      </c>
      <c r="H21" s="486">
        <f>H19-F14-H31-H15</f>
        <v>276881.228</v>
      </c>
      <c r="I21" s="486">
        <f>I19-F14-I31-H15</f>
        <v>74683.41</v>
      </c>
      <c r="L21" s="489" t="s">
        <v>339</v>
      </c>
      <c r="M21" s="490">
        <f>-PV(F18/12,48,M19)</f>
        <v>759399.8242942642</v>
      </c>
      <c r="N21" s="491">
        <f>(M21*0.97912334)-$F$14-H15</f>
        <v>593546.09235841315</v>
      </c>
    </row>
    <row r="22" spans="1:14" ht="29" thickBot="1">
      <c r="E22" s="471" t="s">
        <v>344</v>
      </c>
      <c r="F22" s="485">
        <f>$F$13-F20+$F$15+$I$15</f>
        <v>20002.085372994054</v>
      </c>
      <c r="G22" s="485">
        <f>$F$13-G20+$F$15+I15</f>
        <v>20000.797377259525</v>
      </c>
      <c r="H22" s="485">
        <f>$F$13-H20+$F$15+I15</f>
        <v>20000.78892532035</v>
      </c>
      <c r="I22" s="485">
        <f>$F$13-I20+$F$15+I15</f>
        <v>20007.927243895818</v>
      </c>
      <c r="L22" s="489" t="s">
        <v>340</v>
      </c>
      <c r="M22" s="490">
        <f>-PV(G18/12,36,M19)</f>
        <v>619759.94002412446</v>
      </c>
      <c r="N22" s="491">
        <f>(M22*0.97912334)-$F$14-H15</f>
        <v>456821.4224746204</v>
      </c>
    </row>
    <row r="23" spans="1:14" ht="29" thickBot="1">
      <c r="E23" s="434"/>
      <c r="F23" s="435"/>
      <c r="G23" s="435"/>
      <c r="H23" s="435"/>
      <c r="I23" s="436"/>
      <c r="L23" s="489" t="s">
        <v>341</v>
      </c>
      <c r="M23" s="490">
        <f>-PV(H18/12,24,M19)</f>
        <v>433371.80459948687</v>
      </c>
      <c r="N23" s="491">
        <f>(M23*0.97912334)-$F$14-H15</f>
        <v>274324.44878127694</v>
      </c>
    </row>
    <row r="24" spans="1:14" ht="38.25" customHeight="1" thickBot="1">
      <c r="E24" s="636" t="s">
        <v>367</v>
      </c>
      <c r="F24" s="637"/>
      <c r="G24" s="637"/>
      <c r="H24" s="637"/>
      <c r="I24" s="638"/>
      <c r="L24" s="489" t="s">
        <v>342</v>
      </c>
      <c r="M24" s="490">
        <f>-PV(I18/12,12,M19)</f>
        <v>227466.39577987167</v>
      </c>
      <c r="N24" s="491">
        <f>(M24*0.97912334)-$F$14-H15</f>
        <v>72717.657173749845</v>
      </c>
    </row>
    <row r="25" spans="1:14" ht="28.5">
      <c r="E25" s="437"/>
      <c r="F25" s="435"/>
      <c r="G25" s="435"/>
      <c r="H25" s="419"/>
      <c r="I25" s="438" t="s">
        <v>369</v>
      </c>
      <c r="L25" s="420"/>
      <c r="M25" s="421"/>
      <c r="N25" s="422"/>
    </row>
    <row r="26" spans="1:14" ht="28.5" hidden="1" outlineLevel="1">
      <c r="A26" s="444"/>
      <c r="B26" s="444"/>
      <c r="C26" s="444"/>
      <c r="D26" s="444"/>
      <c r="E26" s="648" t="s">
        <v>368</v>
      </c>
      <c r="F26" s="649"/>
      <c r="G26" s="649"/>
      <c r="H26" s="649"/>
      <c r="I26" s="650"/>
      <c r="L26" s="420"/>
      <c r="M26" s="421"/>
      <c r="N26" s="422"/>
    </row>
    <row r="27" spans="1:14" hidden="1" outlineLevel="1">
      <c r="A27" s="444"/>
      <c r="B27" s="444"/>
      <c r="C27" s="444"/>
      <c r="D27" s="444"/>
      <c r="E27" s="445"/>
      <c r="F27" s="446"/>
      <c r="G27" s="446"/>
      <c r="H27" s="446"/>
      <c r="I27" s="447"/>
      <c r="L27" s="420"/>
      <c r="M27" s="421"/>
      <c r="N27" s="422"/>
    </row>
    <row r="28" spans="1:14" hidden="1" outlineLevel="1">
      <c r="A28" s="444"/>
      <c r="B28" s="444"/>
      <c r="C28" s="444"/>
      <c r="D28" s="444"/>
      <c r="E28" s="448" t="s">
        <v>365</v>
      </c>
      <c r="F28" s="449">
        <f>IF(F19*1%&lt;1500,F19*1%,1500)</f>
        <v>1500</v>
      </c>
      <c r="G28" s="449">
        <f>IF(G19*1%&lt;1500,G19*1%,1500)</f>
        <v>1500</v>
      </c>
      <c r="H28" s="449">
        <f>IF(H19*1%&lt;1500,H19*1%,1500)</f>
        <v>1500</v>
      </c>
      <c r="I28" s="450">
        <f>IF(I19*1%&lt;1500,I19*1%,1500)</f>
        <v>1500</v>
      </c>
      <c r="L28" s="420"/>
      <c r="M28" s="421"/>
      <c r="N28" s="422"/>
    </row>
    <row r="29" spans="1:14" hidden="1" outlineLevel="1">
      <c r="A29" s="444"/>
      <c r="B29" s="444"/>
      <c r="C29" s="444"/>
      <c r="D29" s="444"/>
      <c r="E29" s="448" t="s">
        <v>366</v>
      </c>
      <c r="F29" s="449">
        <f>IF(F19&lt;250000,0,F19/200)</f>
        <v>3797</v>
      </c>
      <c r="G29" s="449">
        <f>IF(G19&lt;250000,0,G19/200)</f>
        <v>3099</v>
      </c>
      <c r="H29" s="449">
        <f>IF(H19&lt;250000,0,H19/200)</f>
        <v>2167</v>
      </c>
      <c r="I29" s="450">
        <f>IF(I19&lt;250000,0,I19/200)</f>
        <v>0</v>
      </c>
      <c r="L29" s="420"/>
      <c r="M29" s="421"/>
      <c r="N29" s="422"/>
    </row>
    <row r="30" spans="1:14" hidden="1" outlineLevel="1">
      <c r="A30" s="444"/>
      <c r="B30" s="444"/>
      <c r="C30" s="444"/>
      <c r="D30" s="444"/>
      <c r="E30" s="448" t="s">
        <v>363</v>
      </c>
      <c r="F30" s="449">
        <f>(F19/1000)*G60</f>
        <v>9036.86</v>
      </c>
      <c r="G30" s="449">
        <f>G19*G59/1000</f>
        <v>5602.9919999999993</v>
      </c>
      <c r="H30" s="449">
        <f>H19*6.58/1000</f>
        <v>2851.7719999999999</v>
      </c>
      <c r="I30" s="450">
        <f>I19*G57/1000</f>
        <v>1216.5899999999999</v>
      </c>
      <c r="L30" s="420"/>
      <c r="M30" s="421"/>
      <c r="N30" s="422"/>
    </row>
    <row r="31" spans="1:14" ht="24" hidden="1" outlineLevel="1" thickBot="1">
      <c r="A31" s="444"/>
      <c r="B31" s="444"/>
      <c r="C31" s="444"/>
      <c r="D31" s="444"/>
      <c r="E31" s="451" t="s">
        <v>364</v>
      </c>
      <c r="F31" s="452">
        <f>SUM(F28:F30)</f>
        <v>14333.86</v>
      </c>
      <c r="G31" s="452">
        <f>SUM(G28:G30)</f>
        <v>10201.991999999998</v>
      </c>
      <c r="H31" s="452">
        <f>SUM(H28:H30)</f>
        <v>6518.7719999999999</v>
      </c>
      <c r="I31" s="453">
        <f>SUM(I28:I30)</f>
        <v>2716.59</v>
      </c>
      <c r="L31" s="420"/>
      <c r="M31" s="421"/>
      <c r="N31" s="422"/>
    </row>
    <row r="32" spans="1:14" hidden="1" outlineLevel="1">
      <c r="A32" s="444"/>
      <c r="B32" s="444"/>
      <c r="C32" s="444"/>
      <c r="D32" s="444"/>
      <c r="E32" s="448"/>
      <c r="F32" s="449"/>
      <c r="G32" s="449"/>
      <c r="H32" s="449"/>
      <c r="I32" s="450"/>
      <c r="L32" s="420"/>
      <c r="M32" s="421"/>
      <c r="N32" s="422"/>
    </row>
    <row r="33" spans="1:14" ht="28.5" hidden="1" outlineLevel="1">
      <c r="A33" s="444"/>
      <c r="B33" s="444"/>
      <c r="C33" s="444"/>
      <c r="D33" s="444"/>
      <c r="E33" s="454" t="s">
        <v>390</v>
      </c>
      <c r="F33" s="455">
        <f>F13+F15+I15</f>
        <v>40000</v>
      </c>
      <c r="G33" s="444"/>
      <c r="H33" s="444"/>
      <c r="I33" s="456"/>
      <c r="L33" s="420"/>
      <c r="M33" s="421"/>
      <c r="N33" s="422"/>
    </row>
    <row r="34" spans="1:14" ht="28.5" hidden="1" outlineLevel="1">
      <c r="A34" s="444"/>
      <c r="B34" s="444"/>
      <c r="C34" s="444"/>
      <c r="D34" s="444"/>
      <c r="E34" s="454" t="s">
        <v>379</v>
      </c>
      <c r="F34" s="455">
        <f>F33-3500</f>
        <v>36500</v>
      </c>
      <c r="G34" s="444"/>
      <c r="H34" s="444"/>
      <c r="I34" s="456"/>
      <c r="L34" s="420"/>
      <c r="M34" s="421"/>
      <c r="N34" s="422"/>
    </row>
    <row r="35" spans="1:14" ht="28.5" hidden="1" outlineLevel="1">
      <c r="A35" s="444"/>
      <c r="B35" s="444"/>
      <c r="C35" s="444"/>
      <c r="D35" s="444"/>
      <c r="E35" s="454" t="s">
        <v>68</v>
      </c>
      <c r="F35" s="457">
        <f>IF(F11&gt;0,IF(F12&lt;10000,20%,IF(F12&lt;13000,30%,IF(F12&lt;38000,35%,40%))),IF(F12&lt;10000,10%,IF(F12&lt;13000,25%,30%)))</f>
        <v>0.4</v>
      </c>
      <c r="G35" s="444"/>
      <c r="H35" s="444"/>
      <c r="I35" s="456"/>
      <c r="L35" s="420"/>
      <c r="M35" s="421"/>
      <c r="N35" s="422"/>
    </row>
    <row r="36" spans="1:14" ht="28.5" hidden="1" outlineLevel="1">
      <c r="A36" s="444"/>
      <c r="B36" s="444"/>
      <c r="C36" s="444"/>
      <c r="D36" s="444"/>
      <c r="E36" s="454" t="s">
        <v>355</v>
      </c>
      <c r="F36" s="455">
        <f>F35*F12</f>
        <v>20000</v>
      </c>
      <c r="G36" s="444"/>
      <c r="H36" s="444"/>
      <c r="I36" s="456"/>
      <c r="L36" s="420"/>
      <c r="M36" s="421"/>
      <c r="N36" s="422"/>
    </row>
    <row r="37" spans="1:14" ht="28.5" hidden="1" outlineLevel="1">
      <c r="A37" s="444"/>
      <c r="B37" s="444"/>
      <c r="C37" s="444"/>
      <c r="D37" s="444"/>
      <c r="E37" s="454" t="s">
        <v>356</v>
      </c>
      <c r="F37" s="455">
        <f>IF(F34&lt;F36,F34,F36)</f>
        <v>20000</v>
      </c>
      <c r="G37" s="444"/>
      <c r="H37" s="444"/>
      <c r="I37" s="456"/>
      <c r="L37" s="420"/>
      <c r="M37" s="421"/>
      <c r="N37" s="422"/>
    </row>
    <row r="38" spans="1:14" hidden="1" outlineLevel="1">
      <c r="A38" s="444"/>
      <c r="B38" s="444"/>
      <c r="C38" s="444"/>
      <c r="D38" s="444"/>
      <c r="E38" s="445"/>
      <c r="F38" s="444"/>
      <c r="G38" s="444"/>
      <c r="H38" s="444"/>
      <c r="I38" s="456"/>
      <c r="L38" s="420"/>
      <c r="M38" s="421"/>
      <c r="N38" s="422"/>
    </row>
    <row r="39" spans="1:14" hidden="1" outlineLevel="1">
      <c r="A39" s="444"/>
      <c r="B39" s="444"/>
      <c r="C39" s="444"/>
      <c r="D39" s="444"/>
      <c r="E39" s="445"/>
      <c r="F39" s="444"/>
      <c r="G39" s="444"/>
      <c r="H39" s="444"/>
      <c r="I39" s="456"/>
      <c r="L39" s="420"/>
      <c r="M39" s="421"/>
      <c r="N39" s="422"/>
    </row>
    <row r="40" spans="1:14" hidden="1" outlineLevel="1">
      <c r="A40" s="444"/>
      <c r="B40" s="444"/>
      <c r="C40" s="444"/>
      <c r="D40" s="444"/>
      <c r="E40" s="445"/>
      <c r="F40" s="444"/>
      <c r="G40" s="444"/>
      <c r="H40" s="444"/>
      <c r="I40" s="456"/>
      <c r="L40" s="420"/>
      <c r="M40" s="421"/>
      <c r="N40" s="422"/>
    </row>
    <row r="41" spans="1:14" ht="24" hidden="1" outlineLevel="1" thickBot="1">
      <c r="A41" s="444"/>
      <c r="B41" s="444"/>
      <c r="C41" s="444"/>
      <c r="D41" s="444"/>
      <c r="E41" s="445"/>
      <c r="F41" s="651" t="s">
        <v>353</v>
      </c>
      <c r="G41" s="652"/>
      <c r="H41" s="444"/>
      <c r="I41" s="456"/>
      <c r="L41" s="420"/>
      <c r="M41" s="421"/>
      <c r="N41" s="422"/>
    </row>
    <row r="42" spans="1:14" ht="24" hidden="1" outlineLevel="1" thickBot="1">
      <c r="A42" s="444"/>
      <c r="B42" s="444"/>
      <c r="C42" s="444"/>
      <c r="D42" s="444"/>
      <c r="E42" s="445"/>
      <c r="F42" s="458" t="s">
        <v>348</v>
      </c>
      <c r="G42" s="459">
        <v>0.1</v>
      </c>
      <c r="H42" s="444"/>
      <c r="I42" s="456"/>
      <c r="L42" s="420"/>
      <c r="M42" s="421"/>
      <c r="N42" s="422"/>
    </row>
    <row r="43" spans="1:14" ht="24" hidden="1" outlineLevel="1" thickBot="1">
      <c r="A43" s="444"/>
      <c r="B43" s="444"/>
      <c r="C43" s="444"/>
      <c r="D43" s="444"/>
      <c r="E43" s="445"/>
      <c r="F43" s="458" t="s">
        <v>349</v>
      </c>
      <c r="G43" s="459">
        <v>0.25</v>
      </c>
      <c r="H43" s="444"/>
      <c r="I43" s="456"/>
      <c r="L43" s="420"/>
      <c r="M43" s="421"/>
      <c r="N43" s="422"/>
    </row>
    <row r="44" spans="1:14" ht="24" hidden="1" outlineLevel="1" thickBot="1">
      <c r="A44" s="444"/>
      <c r="B44" s="444"/>
      <c r="C44" s="444"/>
      <c r="D44" s="444"/>
      <c r="E44" s="445"/>
      <c r="F44" s="458" t="s">
        <v>350</v>
      </c>
      <c r="G44" s="459">
        <v>0.3</v>
      </c>
      <c r="H44" s="444"/>
      <c r="I44" s="456"/>
      <c r="L44" s="420"/>
      <c r="M44" s="421"/>
      <c r="N44" s="422"/>
    </row>
    <row r="45" spans="1:14" ht="24" hidden="1" outlineLevel="1" thickBot="1">
      <c r="A45" s="444"/>
      <c r="B45" s="444"/>
      <c r="C45" s="444"/>
      <c r="D45" s="444"/>
      <c r="E45" s="445"/>
      <c r="F45" s="458" t="s">
        <v>351</v>
      </c>
      <c r="G45" s="459">
        <v>0.3</v>
      </c>
      <c r="H45" s="444"/>
      <c r="I45" s="456"/>
      <c r="L45" s="420"/>
      <c r="M45" s="421"/>
      <c r="N45" s="422"/>
    </row>
    <row r="46" spans="1:14" ht="24" hidden="1" outlineLevel="1" thickBot="1">
      <c r="A46" s="444"/>
      <c r="B46" s="444"/>
      <c r="C46" s="444"/>
      <c r="D46" s="444"/>
      <c r="E46" s="445"/>
      <c r="F46" s="458" t="s">
        <v>352</v>
      </c>
      <c r="G46" s="459">
        <v>0.3</v>
      </c>
      <c r="H46" s="444"/>
      <c r="I46" s="456"/>
      <c r="L46" s="420"/>
      <c r="M46" s="421"/>
      <c r="N46" s="422"/>
    </row>
    <row r="47" spans="1:14" hidden="1" outlineLevel="1">
      <c r="A47" s="444"/>
      <c r="B47" s="444"/>
      <c r="C47" s="444"/>
      <c r="D47" s="444"/>
      <c r="E47" s="445"/>
      <c r="F47" s="444"/>
      <c r="G47" s="444"/>
      <c r="H47" s="444"/>
      <c r="I47" s="456"/>
      <c r="L47" s="420"/>
      <c r="M47" s="421"/>
      <c r="N47" s="422"/>
    </row>
    <row r="48" spans="1:14" ht="24" hidden="1" outlineLevel="1" thickBot="1">
      <c r="A48" s="444"/>
      <c r="B48" s="444"/>
      <c r="C48" s="444"/>
      <c r="D48" s="444"/>
      <c r="E48" s="445"/>
      <c r="F48" s="651" t="s">
        <v>354</v>
      </c>
      <c r="G48" s="652"/>
      <c r="H48" s="444"/>
      <c r="I48" s="456"/>
      <c r="L48" s="420"/>
      <c r="M48" s="421"/>
      <c r="N48" s="422"/>
    </row>
    <row r="49" spans="1:14" ht="24" hidden="1" outlineLevel="1" thickBot="1">
      <c r="A49" s="444"/>
      <c r="B49" s="444"/>
      <c r="C49" s="444"/>
      <c r="D49" s="444"/>
      <c r="E49" s="445"/>
      <c r="F49" s="458" t="s">
        <v>348</v>
      </c>
      <c r="G49" s="459">
        <v>0.2</v>
      </c>
      <c r="H49" s="444"/>
      <c r="I49" s="456"/>
      <c r="L49" s="420"/>
      <c r="M49" s="421"/>
      <c r="N49" s="422"/>
    </row>
    <row r="50" spans="1:14" ht="24" hidden="1" outlineLevel="1" thickBot="1">
      <c r="A50" s="444"/>
      <c r="B50" s="444"/>
      <c r="C50" s="444"/>
      <c r="D50" s="444"/>
      <c r="E50" s="445"/>
      <c r="F50" s="458" t="s">
        <v>349</v>
      </c>
      <c r="G50" s="459">
        <v>0.3</v>
      </c>
      <c r="H50" s="444"/>
      <c r="I50" s="456"/>
      <c r="L50" s="420"/>
      <c r="M50" s="421"/>
      <c r="N50" s="422"/>
    </row>
    <row r="51" spans="1:14" ht="24" hidden="1" outlineLevel="1" thickBot="1">
      <c r="A51" s="444"/>
      <c r="B51" s="444"/>
      <c r="C51" s="444"/>
      <c r="D51" s="444"/>
      <c r="E51" s="445"/>
      <c r="F51" s="458" t="s">
        <v>350</v>
      </c>
      <c r="G51" s="459">
        <v>0.35</v>
      </c>
      <c r="H51" s="444"/>
      <c r="I51" s="456"/>
      <c r="L51" s="420"/>
      <c r="M51" s="421"/>
      <c r="N51" s="422"/>
    </row>
    <row r="52" spans="1:14" ht="24" hidden="1" outlineLevel="1" thickBot="1">
      <c r="A52" s="444"/>
      <c r="B52" s="444"/>
      <c r="C52" s="444"/>
      <c r="D52" s="444"/>
      <c r="E52" s="445"/>
      <c r="F52" s="458" t="s">
        <v>351</v>
      </c>
      <c r="G52" s="459">
        <v>0.35</v>
      </c>
      <c r="H52" s="444"/>
      <c r="I52" s="456"/>
      <c r="L52" s="420"/>
      <c r="M52" s="421"/>
      <c r="N52" s="422"/>
    </row>
    <row r="53" spans="1:14" ht="24" hidden="1" outlineLevel="1" thickBot="1">
      <c r="A53" s="444"/>
      <c r="B53" s="444"/>
      <c r="C53" s="444"/>
      <c r="D53" s="444"/>
      <c r="E53" s="445"/>
      <c r="F53" s="458" t="s">
        <v>352</v>
      </c>
      <c r="G53" s="459">
        <v>0.4</v>
      </c>
      <c r="H53" s="444"/>
      <c r="I53" s="456"/>
      <c r="L53" s="420"/>
      <c r="M53" s="421"/>
      <c r="N53" s="422"/>
    </row>
    <row r="54" spans="1:14" hidden="1" outlineLevel="1">
      <c r="A54" s="444"/>
      <c r="B54" s="444"/>
      <c r="C54" s="444"/>
      <c r="D54" s="444"/>
      <c r="E54" s="445"/>
      <c r="F54" s="444"/>
      <c r="G54" s="444"/>
      <c r="H54" s="444"/>
      <c r="I54" s="456"/>
      <c r="L54" s="420"/>
      <c r="M54" s="421"/>
      <c r="N54" s="422"/>
    </row>
    <row r="55" spans="1:14" hidden="1" outlineLevel="1">
      <c r="A55" s="444"/>
      <c r="B55" s="444"/>
      <c r="C55" s="444"/>
      <c r="D55" s="444"/>
      <c r="E55" s="445"/>
      <c r="F55" s="444"/>
      <c r="G55" s="444"/>
      <c r="H55" s="444"/>
      <c r="I55" s="456"/>
      <c r="L55" s="420"/>
      <c r="M55" s="421"/>
      <c r="N55" s="422"/>
    </row>
    <row r="56" spans="1:14" ht="24" hidden="1" outlineLevel="1" thickBot="1">
      <c r="A56" s="444"/>
      <c r="B56" s="444"/>
      <c r="C56" s="444"/>
      <c r="D56" s="444"/>
      <c r="E56" s="445"/>
      <c r="F56" s="646" t="s">
        <v>362</v>
      </c>
      <c r="G56" s="647"/>
      <c r="H56" s="444"/>
      <c r="I56" s="456"/>
      <c r="L56" s="420"/>
      <c r="M56" s="421"/>
      <c r="N56" s="422"/>
    </row>
    <row r="57" spans="1:14" ht="24" hidden="1" outlineLevel="1" thickBot="1">
      <c r="A57" s="444"/>
      <c r="B57" s="444"/>
      <c r="C57" s="444"/>
      <c r="D57" s="444"/>
      <c r="E57" s="445"/>
      <c r="F57" s="458" t="s">
        <v>358</v>
      </c>
      <c r="G57" s="460">
        <v>5.35</v>
      </c>
      <c r="H57" s="444"/>
      <c r="I57" s="456"/>
      <c r="L57" s="420"/>
      <c r="M57" s="421"/>
      <c r="N57" s="422"/>
    </row>
    <row r="58" spans="1:14" ht="24" hidden="1" outlineLevel="1" thickBot="1">
      <c r="A58" s="444"/>
      <c r="B58" s="444"/>
      <c r="C58" s="444"/>
      <c r="D58" s="444"/>
      <c r="E58" s="445"/>
      <c r="F58" s="458" t="s">
        <v>359</v>
      </c>
      <c r="G58" s="460">
        <v>6.58</v>
      </c>
      <c r="H58" s="444"/>
      <c r="I58" s="456"/>
      <c r="L58" s="420"/>
      <c r="M58" s="421"/>
      <c r="N58" s="422"/>
    </row>
    <row r="59" spans="1:14" ht="24" hidden="1" outlineLevel="1" thickBot="1">
      <c r="A59" s="444"/>
      <c r="B59" s="444"/>
      <c r="C59" s="444"/>
      <c r="D59" s="444"/>
      <c r="E59" s="445"/>
      <c r="F59" s="458" t="s">
        <v>360</v>
      </c>
      <c r="G59" s="460">
        <v>9.0399999999999991</v>
      </c>
      <c r="H59" s="444"/>
      <c r="I59" s="456"/>
      <c r="L59" s="420"/>
      <c r="M59" s="421"/>
      <c r="N59" s="422"/>
    </row>
    <row r="60" spans="1:14" ht="24" hidden="1" outlineLevel="1" thickBot="1">
      <c r="A60" s="444"/>
      <c r="B60" s="444"/>
      <c r="C60" s="444"/>
      <c r="D60" s="444"/>
      <c r="E60" s="445"/>
      <c r="F60" s="458" t="s">
        <v>361</v>
      </c>
      <c r="G60" s="461">
        <v>11.9</v>
      </c>
      <c r="H60" s="444"/>
      <c r="I60" s="456"/>
      <c r="L60" s="420"/>
      <c r="M60" s="421"/>
      <c r="N60" s="422"/>
    </row>
    <row r="61" spans="1:14" hidden="1" outlineLevel="1">
      <c r="A61" s="444"/>
      <c r="B61" s="444"/>
      <c r="C61" s="444"/>
      <c r="D61" s="444"/>
      <c r="E61" s="445"/>
      <c r="F61" s="444"/>
      <c r="G61" s="444"/>
      <c r="H61" s="444"/>
      <c r="I61" s="456"/>
      <c r="L61" s="420"/>
      <c r="M61" s="421"/>
      <c r="N61" s="422"/>
    </row>
    <row r="62" spans="1:14" ht="24" hidden="1" outlineLevel="1" thickBot="1">
      <c r="A62" s="444"/>
      <c r="B62" s="444"/>
      <c r="C62" s="444"/>
      <c r="D62" s="444"/>
      <c r="E62" s="462"/>
      <c r="F62" s="463"/>
      <c r="G62" s="463"/>
      <c r="H62" s="463"/>
      <c r="I62" s="461"/>
      <c r="L62" s="420"/>
      <c r="M62" s="421"/>
      <c r="N62" s="422"/>
    </row>
    <row r="63" spans="1:14" hidden="1" outlineLevel="1">
      <c r="A63" s="444"/>
      <c r="B63" s="444"/>
      <c r="C63" s="444"/>
      <c r="D63" s="444"/>
      <c r="E63" s="444"/>
      <c r="F63" s="444"/>
      <c r="G63" s="444"/>
      <c r="H63" s="444"/>
      <c r="I63" s="444"/>
      <c r="L63" s="420"/>
      <c r="M63" s="421"/>
      <c r="N63" s="422"/>
    </row>
    <row r="64" spans="1:14" collapsed="1">
      <c r="A64" s="444"/>
      <c r="B64" s="444"/>
      <c r="C64" s="444"/>
      <c r="D64" s="444"/>
      <c r="E64" s="444"/>
      <c r="F64" s="444"/>
      <c r="G64" s="444"/>
      <c r="H64" s="444"/>
      <c r="I64" s="444"/>
      <c r="L64" s="420"/>
      <c r="M64" s="421"/>
      <c r="N64" s="422"/>
    </row>
    <row r="65" spans="1:14">
      <c r="A65" s="444"/>
      <c r="B65" s="444"/>
      <c r="C65" s="444"/>
      <c r="D65" s="444"/>
      <c r="E65" s="444"/>
      <c r="F65" s="444"/>
      <c r="G65" s="444"/>
      <c r="H65" s="444"/>
      <c r="I65" s="444"/>
      <c r="L65" s="420"/>
      <c r="M65" s="421"/>
      <c r="N65" s="422"/>
    </row>
    <row r="66" spans="1:14">
      <c r="A66" s="444"/>
      <c r="B66" s="444"/>
      <c r="C66" s="444"/>
      <c r="D66" s="444"/>
      <c r="E66" s="444"/>
      <c r="F66" s="444"/>
      <c r="G66" s="444"/>
      <c r="H66" s="444"/>
      <c r="I66" s="444"/>
      <c r="L66" s="420"/>
      <c r="M66" s="421"/>
      <c r="N66" s="422"/>
    </row>
    <row r="67" spans="1:14">
      <c r="A67" s="444"/>
      <c r="B67" s="444"/>
      <c r="C67" s="444"/>
      <c r="D67" s="444"/>
      <c r="E67" s="444"/>
      <c r="F67" s="444"/>
      <c r="G67" s="444"/>
      <c r="H67" s="444"/>
      <c r="I67" s="444"/>
      <c r="L67" s="420"/>
      <c r="M67" s="421"/>
      <c r="N67" s="422"/>
    </row>
    <row r="68" spans="1:14">
      <c r="A68" s="444"/>
      <c r="B68" s="444"/>
      <c r="C68" s="444"/>
      <c r="D68" s="444"/>
      <c r="E68" s="444"/>
      <c r="F68" s="444"/>
      <c r="G68" s="444"/>
      <c r="H68" s="444"/>
      <c r="I68" s="444"/>
      <c r="L68" s="420"/>
      <c r="M68" s="421"/>
      <c r="N68" s="422"/>
    </row>
    <row r="69" spans="1:14">
      <c r="A69" s="444"/>
      <c r="B69" s="444"/>
      <c r="C69" s="444"/>
      <c r="D69" s="444"/>
      <c r="E69" s="444"/>
      <c r="F69" s="444"/>
      <c r="G69" s="444"/>
      <c r="H69" s="444"/>
      <c r="I69" s="444"/>
      <c r="L69" s="420"/>
      <c r="M69" s="421"/>
      <c r="N69" s="422"/>
    </row>
    <row r="70" spans="1:14">
      <c r="A70" s="444"/>
      <c r="B70" s="444"/>
      <c r="C70" s="444"/>
      <c r="D70" s="444"/>
      <c r="E70" s="444"/>
      <c r="F70" s="444"/>
      <c r="G70" s="444"/>
      <c r="H70" s="444"/>
      <c r="I70" s="444"/>
      <c r="L70" s="420"/>
      <c r="M70" s="421"/>
      <c r="N70" s="422"/>
    </row>
    <row r="71" spans="1:14">
      <c r="A71" s="444"/>
      <c r="B71" s="444"/>
      <c r="C71" s="444"/>
      <c r="D71" s="444"/>
      <c r="E71" s="444"/>
      <c r="F71" s="444"/>
      <c r="G71" s="444"/>
      <c r="H71" s="444"/>
      <c r="I71" s="444"/>
      <c r="L71" s="420"/>
      <c r="M71" s="421"/>
      <c r="N71" s="422"/>
    </row>
    <row r="72" spans="1:14">
      <c r="A72" s="444"/>
      <c r="B72" s="444"/>
      <c r="C72" s="444"/>
      <c r="D72" s="444"/>
      <c r="E72" s="444"/>
      <c r="F72" s="444"/>
      <c r="G72" s="444"/>
      <c r="H72" s="444"/>
      <c r="I72" s="444"/>
      <c r="L72" s="420"/>
      <c r="M72" s="421"/>
      <c r="N72" s="422"/>
    </row>
    <row r="73" spans="1:14">
      <c r="A73" s="444"/>
      <c r="B73" s="444"/>
      <c r="C73" s="444"/>
      <c r="D73" s="444"/>
      <c r="E73" s="444"/>
      <c r="F73" s="444"/>
      <c r="G73" s="444"/>
      <c r="H73" s="444"/>
      <c r="I73" s="444"/>
      <c r="L73" s="420"/>
      <c r="M73" s="421"/>
      <c r="N73" s="422"/>
    </row>
    <row r="74" spans="1:14">
      <c r="A74" s="444"/>
      <c r="B74" s="444"/>
      <c r="C74" s="444"/>
      <c r="D74" s="444"/>
      <c r="E74" s="444"/>
      <c r="F74" s="444"/>
      <c r="G74" s="444"/>
      <c r="H74" s="444"/>
      <c r="I74" s="444"/>
      <c r="L74" s="420"/>
      <c r="M74" s="421"/>
      <c r="N74" s="422"/>
    </row>
    <row r="75" spans="1:14">
      <c r="A75" s="444"/>
      <c r="B75" s="444"/>
      <c r="C75" s="444"/>
      <c r="D75" s="444"/>
      <c r="E75" s="444"/>
      <c r="F75" s="444"/>
      <c r="G75" s="444"/>
      <c r="H75" s="444"/>
      <c r="I75" s="444"/>
      <c r="L75" s="420"/>
      <c r="M75" s="421"/>
      <c r="N75" s="422"/>
    </row>
    <row r="76" spans="1:14">
      <c r="A76" s="444"/>
      <c r="B76" s="444"/>
      <c r="C76" s="444"/>
      <c r="D76" s="444"/>
      <c r="E76" s="444"/>
      <c r="F76" s="444"/>
      <c r="G76" s="444"/>
      <c r="H76" s="444"/>
      <c r="I76" s="444"/>
      <c r="L76" s="420"/>
      <c r="M76" s="421"/>
      <c r="N76" s="422"/>
    </row>
    <row r="77" spans="1:14">
      <c r="A77" s="444"/>
      <c r="B77" s="444"/>
      <c r="C77" s="444"/>
      <c r="D77" s="444"/>
      <c r="E77" s="444"/>
      <c r="F77" s="444"/>
      <c r="G77" s="444"/>
      <c r="H77" s="444"/>
      <c r="I77" s="444"/>
      <c r="L77" s="420"/>
      <c r="M77" s="421"/>
      <c r="N77" s="422"/>
    </row>
    <row r="78" spans="1:14">
      <c r="A78" s="444"/>
      <c r="B78" s="444"/>
      <c r="C78" s="444"/>
      <c r="D78" s="444"/>
      <c r="E78" s="444"/>
      <c r="F78" s="444"/>
      <c r="G78" s="444"/>
      <c r="H78" s="444"/>
      <c r="I78" s="444"/>
      <c r="L78" s="420"/>
      <c r="M78" s="421"/>
      <c r="N78" s="422"/>
    </row>
    <row r="79" spans="1:14">
      <c r="A79" s="444"/>
      <c r="B79" s="444"/>
      <c r="C79" s="444"/>
      <c r="D79" s="444"/>
      <c r="E79" s="444"/>
      <c r="F79" s="444"/>
      <c r="G79" s="444"/>
      <c r="H79" s="444"/>
      <c r="I79" s="444"/>
      <c r="L79" s="420"/>
      <c r="M79" s="421"/>
      <c r="N79" s="422"/>
    </row>
    <row r="80" spans="1:14">
      <c r="A80" s="444"/>
      <c r="B80" s="444"/>
      <c r="C80" s="444"/>
      <c r="D80" s="444"/>
      <c r="E80" s="444"/>
      <c r="F80" s="444"/>
      <c r="G80" s="444"/>
      <c r="H80" s="444"/>
      <c r="I80" s="444"/>
      <c r="L80" s="420"/>
      <c r="M80" s="421"/>
      <c r="N80" s="422"/>
    </row>
    <row r="81" spans="1:14">
      <c r="A81" s="444"/>
      <c r="B81" s="444"/>
      <c r="C81" s="444"/>
      <c r="D81" s="444"/>
      <c r="E81" s="444"/>
      <c r="F81" s="444"/>
      <c r="G81" s="444"/>
      <c r="H81" s="444"/>
      <c r="I81" s="444"/>
      <c r="L81" s="420"/>
      <c r="M81" s="421"/>
      <c r="N81" s="422"/>
    </row>
    <row r="82" spans="1:14">
      <c r="A82" s="444"/>
      <c r="B82" s="444"/>
      <c r="C82" s="444"/>
      <c r="D82" s="444"/>
      <c r="E82" s="444"/>
      <c r="F82" s="444"/>
      <c r="G82" s="444"/>
      <c r="H82" s="444"/>
      <c r="I82" s="444"/>
      <c r="L82" s="420"/>
      <c r="M82" s="421"/>
      <c r="N82" s="422"/>
    </row>
    <row r="83" spans="1:14">
      <c r="A83" s="444"/>
      <c r="B83" s="444"/>
      <c r="C83" s="444"/>
      <c r="D83" s="444"/>
      <c r="E83" s="444"/>
      <c r="F83" s="444"/>
      <c r="G83" s="444"/>
      <c r="H83" s="444"/>
      <c r="I83" s="444"/>
      <c r="L83" s="420"/>
      <c r="M83" s="421"/>
      <c r="N83" s="422"/>
    </row>
    <row r="84" spans="1:14">
      <c r="A84" s="444"/>
      <c r="B84" s="444"/>
      <c r="C84" s="444"/>
      <c r="D84" s="444"/>
      <c r="E84" s="444"/>
      <c r="F84" s="444"/>
      <c r="G84" s="444"/>
      <c r="H84" s="444"/>
      <c r="I84" s="444"/>
      <c r="L84" s="420"/>
      <c r="M84" s="421"/>
      <c r="N84" s="422"/>
    </row>
    <row r="85" spans="1:14">
      <c r="A85" s="444"/>
      <c r="B85" s="444"/>
      <c r="C85" s="444"/>
      <c r="D85" s="444"/>
      <c r="E85" s="444"/>
      <c r="F85" s="444"/>
      <c r="G85" s="444"/>
      <c r="H85" s="444"/>
      <c r="I85" s="444"/>
      <c r="L85" s="420"/>
      <c r="M85" s="421"/>
      <c r="N85" s="422"/>
    </row>
    <row r="86" spans="1:14">
      <c r="A86" s="444"/>
      <c r="B86" s="444"/>
      <c r="C86" s="444"/>
      <c r="D86" s="444"/>
      <c r="E86" s="444"/>
      <c r="F86" s="444"/>
      <c r="G86" s="444"/>
      <c r="H86" s="444"/>
      <c r="I86" s="444"/>
      <c r="L86" s="420"/>
      <c r="M86" s="421"/>
      <c r="N86" s="422"/>
    </row>
    <row r="87" spans="1:14">
      <c r="A87" s="444"/>
      <c r="B87" s="444"/>
      <c r="C87" s="444"/>
      <c r="D87" s="444"/>
      <c r="E87" s="444"/>
      <c r="F87" s="444"/>
      <c r="G87" s="444"/>
      <c r="H87" s="444"/>
      <c r="I87" s="444"/>
      <c r="L87" s="420"/>
      <c r="M87" s="421"/>
      <c r="N87" s="422"/>
    </row>
    <row r="88" spans="1:14">
      <c r="A88" s="444"/>
      <c r="B88" s="444"/>
      <c r="C88" s="444"/>
      <c r="D88" s="444"/>
      <c r="E88" s="444"/>
      <c r="F88" s="444"/>
      <c r="G88" s="444"/>
      <c r="H88" s="444"/>
      <c r="I88" s="444"/>
      <c r="L88" s="420"/>
      <c r="M88" s="421"/>
      <c r="N88" s="422"/>
    </row>
    <row r="89" spans="1:14">
      <c r="A89" s="444"/>
      <c r="B89" s="444"/>
      <c r="C89" s="444"/>
      <c r="D89" s="444"/>
      <c r="E89" s="444"/>
      <c r="F89" s="444"/>
      <c r="G89" s="444"/>
      <c r="H89" s="444"/>
      <c r="I89" s="444"/>
      <c r="L89" s="420"/>
      <c r="M89" s="421"/>
      <c r="N89" s="422"/>
    </row>
    <row r="90" spans="1:14">
      <c r="A90" s="444"/>
      <c r="B90" s="444"/>
      <c r="C90" s="444"/>
      <c r="D90" s="444"/>
      <c r="E90" s="444"/>
      <c r="F90" s="444"/>
      <c r="G90" s="444"/>
      <c r="H90" s="444"/>
      <c r="I90" s="444"/>
      <c r="L90" s="420"/>
      <c r="M90" s="421"/>
      <c r="N90" s="422"/>
    </row>
    <row r="91" spans="1:14">
      <c r="A91" s="444"/>
      <c r="B91" s="444"/>
      <c r="C91" s="444"/>
      <c r="D91" s="444"/>
      <c r="E91" s="444"/>
      <c r="F91" s="444"/>
      <c r="G91" s="444"/>
      <c r="H91" s="444"/>
      <c r="I91" s="444"/>
      <c r="L91" s="420"/>
      <c r="M91" s="421"/>
      <c r="N91" s="422"/>
    </row>
    <row r="92" spans="1:14">
      <c r="A92" s="444"/>
      <c r="B92" s="444"/>
      <c r="C92" s="444"/>
      <c r="D92" s="444"/>
      <c r="E92" s="444"/>
      <c r="F92" s="444"/>
      <c r="G92" s="444"/>
      <c r="H92" s="444"/>
      <c r="I92" s="444"/>
      <c r="L92" s="420"/>
      <c r="M92" s="421"/>
      <c r="N92" s="422"/>
    </row>
    <row r="93" spans="1:14">
      <c r="A93" s="444"/>
      <c r="B93" s="444"/>
      <c r="C93" s="444"/>
      <c r="D93" s="444"/>
      <c r="E93" s="444"/>
      <c r="F93" s="444"/>
      <c r="G93" s="444"/>
      <c r="H93" s="444"/>
      <c r="I93" s="444"/>
      <c r="L93" s="420"/>
      <c r="M93" s="421"/>
      <c r="N93" s="422"/>
    </row>
    <row r="94" spans="1:14">
      <c r="A94" s="444"/>
      <c r="B94" s="444"/>
      <c r="C94" s="444"/>
      <c r="D94" s="444"/>
      <c r="E94" s="444"/>
      <c r="F94" s="444"/>
      <c r="G94" s="444"/>
      <c r="H94" s="444"/>
      <c r="I94" s="444"/>
      <c r="L94" s="420"/>
      <c r="M94" s="421"/>
      <c r="N94" s="422"/>
    </row>
    <row r="95" spans="1:14">
      <c r="A95" s="444"/>
      <c r="B95" s="444"/>
      <c r="C95" s="444"/>
      <c r="D95" s="444"/>
      <c r="E95" s="444"/>
      <c r="F95" s="444"/>
      <c r="G95" s="444"/>
      <c r="H95" s="444"/>
      <c r="I95" s="444"/>
      <c r="L95" s="420"/>
      <c r="M95" s="421"/>
      <c r="N95" s="422"/>
    </row>
    <row r="96" spans="1:14">
      <c r="A96" s="444"/>
      <c r="B96" s="444"/>
      <c r="C96" s="444"/>
      <c r="D96" s="444"/>
      <c r="E96" s="444"/>
      <c r="F96" s="444"/>
      <c r="G96" s="444"/>
      <c r="H96" s="444"/>
      <c r="I96" s="444"/>
      <c r="L96" s="420"/>
      <c r="M96" s="421"/>
      <c r="N96" s="422"/>
    </row>
    <row r="97" spans="1:14">
      <c r="A97" s="444"/>
      <c r="B97" s="444"/>
      <c r="C97" s="444"/>
      <c r="D97" s="444"/>
      <c r="E97" s="444"/>
      <c r="F97" s="444"/>
      <c r="G97" s="444"/>
      <c r="H97" s="444"/>
      <c r="I97" s="444"/>
      <c r="L97" s="420"/>
      <c r="M97" s="421"/>
      <c r="N97" s="422"/>
    </row>
    <row r="98" spans="1:14">
      <c r="A98" s="444"/>
      <c r="B98" s="444"/>
      <c r="C98" s="444"/>
      <c r="D98" s="444"/>
      <c r="E98" s="444"/>
      <c r="F98" s="444"/>
      <c r="G98" s="444"/>
      <c r="H98" s="444"/>
      <c r="I98" s="444"/>
      <c r="L98" s="420"/>
      <c r="M98" s="421"/>
      <c r="N98" s="422"/>
    </row>
    <row r="99" spans="1:14">
      <c r="A99" s="444"/>
      <c r="B99" s="444"/>
      <c r="C99" s="444"/>
      <c r="D99" s="444"/>
      <c r="E99" s="444"/>
      <c r="F99" s="444"/>
      <c r="G99" s="444"/>
      <c r="H99" s="444"/>
      <c r="I99" s="444"/>
      <c r="L99" s="420"/>
      <c r="M99" s="421"/>
      <c r="N99" s="422"/>
    </row>
    <row r="100" spans="1:14">
      <c r="A100" s="444"/>
      <c r="B100" s="444"/>
      <c r="C100" s="444"/>
      <c r="D100" s="444"/>
      <c r="E100" s="444"/>
      <c r="F100" s="444"/>
      <c r="G100" s="444"/>
      <c r="H100" s="444"/>
      <c r="I100" s="444"/>
      <c r="L100" s="420"/>
      <c r="M100" s="421"/>
      <c r="N100" s="422"/>
    </row>
    <row r="101" spans="1:14">
      <c r="A101" s="444"/>
      <c r="B101" s="444"/>
      <c r="C101" s="444"/>
      <c r="D101" s="444"/>
      <c r="E101" s="444"/>
      <c r="F101" s="444"/>
      <c r="G101" s="444"/>
      <c r="H101" s="444"/>
      <c r="I101" s="444"/>
      <c r="L101" s="420"/>
      <c r="M101" s="421"/>
      <c r="N101" s="422"/>
    </row>
    <row r="102" spans="1:14">
      <c r="A102" s="444"/>
      <c r="B102" s="444"/>
      <c r="C102" s="444"/>
      <c r="D102" s="444"/>
      <c r="E102" s="444"/>
      <c r="F102" s="444"/>
      <c r="G102" s="444"/>
      <c r="H102" s="444"/>
      <c r="I102" s="444"/>
      <c r="L102" s="420"/>
      <c r="M102" s="421"/>
      <c r="N102" s="422"/>
    </row>
    <row r="103" spans="1:14">
      <c r="A103" s="444"/>
      <c r="B103" s="444"/>
      <c r="C103" s="444"/>
      <c r="D103" s="444"/>
      <c r="E103" s="444"/>
      <c r="F103" s="444"/>
      <c r="G103" s="444"/>
      <c r="H103" s="444"/>
      <c r="I103" s="444"/>
      <c r="L103" s="420"/>
      <c r="M103" s="421"/>
      <c r="N103" s="422"/>
    </row>
    <row r="104" spans="1:14">
      <c r="A104" s="444"/>
      <c r="B104" s="444"/>
      <c r="C104" s="444"/>
      <c r="D104" s="444"/>
      <c r="E104" s="444"/>
      <c r="F104" s="444"/>
      <c r="G104" s="444"/>
      <c r="H104" s="444"/>
      <c r="I104" s="444"/>
      <c r="L104" s="420"/>
      <c r="M104" s="421"/>
      <c r="N104" s="422"/>
    </row>
    <row r="105" spans="1:14">
      <c r="A105" s="444"/>
      <c r="B105" s="444"/>
      <c r="C105" s="444"/>
      <c r="D105" s="444"/>
      <c r="E105" s="444"/>
      <c r="F105" s="444"/>
      <c r="G105" s="444"/>
      <c r="H105" s="444"/>
      <c r="I105" s="444"/>
      <c r="L105" s="420"/>
      <c r="M105" s="421"/>
      <c r="N105" s="422"/>
    </row>
    <row r="106" spans="1:14">
      <c r="A106" s="444"/>
      <c r="B106" s="444"/>
      <c r="C106" s="444"/>
      <c r="D106" s="444"/>
      <c r="E106" s="444"/>
      <c r="F106" s="444"/>
      <c r="G106" s="444"/>
      <c r="H106" s="444"/>
      <c r="I106" s="444"/>
      <c r="L106" s="420"/>
      <c r="M106" s="421"/>
      <c r="N106" s="422"/>
    </row>
    <row r="107" spans="1:14">
      <c r="A107" s="444"/>
      <c r="B107" s="444"/>
      <c r="C107" s="444"/>
      <c r="D107" s="444"/>
      <c r="E107" s="444"/>
      <c r="F107" s="444"/>
      <c r="G107" s="444"/>
      <c r="H107" s="444"/>
      <c r="I107" s="444"/>
      <c r="L107" s="420"/>
      <c r="M107" s="421"/>
      <c r="N107" s="422"/>
    </row>
    <row r="108" spans="1:14">
      <c r="A108" s="444"/>
      <c r="B108" s="444"/>
      <c r="C108" s="444"/>
      <c r="D108" s="444"/>
      <c r="E108" s="444"/>
      <c r="F108" s="444"/>
      <c r="G108" s="444"/>
      <c r="H108" s="444"/>
      <c r="I108" s="444"/>
      <c r="L108" s="420"/>
      <c r="M108" s="421"/>
      <c r="N108" s="422"/>
    </row>
    <row r="109" spans="1:14">
      <c r="A109" s="444"/>
      <c r="B109" s="444"/>
      <c r="C109" s="444"/>
      <c r="D109" s="444"/>
      <c r="E109" s="444"/>
      <c r="F109" s="444"/>
      <c r="G109" s="444"/>
      <c r="H109" s="444"/>
      <c r="I109" s="444"/>
      <c r="L109" s="420"/>
      <c r="M109" s="421"/>
      <c r="N109" s="422"/>
    </row>
    <row r="110" spans="1:14">
      <c r="A110" s="444"/>
      <c r="B110" s="444"/>
      <c r="C110" s="444"/>
      <c r="D110" s="444"/>
      <c r="E110" s="444"/>
      <c r="F110" s="444"/>
      <c r="G110" s="444"/>
      <c r="H110" s="444"/>
      <c r="I110" s="444"/>
      <c r="L110" s="420"/>
      <c r="M110" s="421"/>
      <c r="N110" s="422"/>
    </row>
    <row r="111" spans="1:14">
      <c r="A111" s="444"/>
      <c r="B111" s="444"/>
      <c r="C111" s="444"/>
      <c r="D111" s="444"/>
      <c r="E111" s="444"/>
      <c r="F111" s="444"/>
      <c r="G111" s="444"/>
      <c r="H111" s="444"/>
      <c r="I111" s="444"/>
      <c r="L111" s="420"/>
      <c r="M111" s="421"/>
      <c r="N111" s="422"/>
    </row>
    <row r="112" spans="1:14">
      <c r="A112" s="444"/>
      <c r="B112" s="444"/>
      <c r="C112" s="444"/>
      <c r="D112" s="444"/>
      <c r="E112" s="444"/>
      <c r="F112" s="444"/>
      <c r="G112" s="444"/>
      <c r="H112" s="444"/>
      <c r="I112" s="444"/>
      <c r="L112" s="420"/>
      <c r="M112" s="421"/>
      <c r="N112" s="422"/>
    </row>
    <row r="113" spans="1:14">
      <c r="A113" s="444"/>
      <c r="B113" s="444"/>
      <c r="C113" s="444"/>
      <c r="D113" s="444"/>
      <c r="E113" s="444"/>
      <c r="F113" s="444"/>
      <c r="G113" s="444"/>
      <c r="H113" s="444"/>
      <c r="I113" s="444"/>
      <c r="L113" s="420"/>
      <c r="M113" s="421"/>
      <c r="N113" s="422"/>
    </row>
    <row r="114" spans="1:14">
      <c r="A114" s="444"/>
      <c r="B114" s="444"/>
      <c r="C114" s="444"/>
      <c r="D114" s="444"/>
      <c r="E114" s="444"/>
      <c r="F114" s="444"/>
      <c r="G114" s="444"/>
      <c r="H114" s="444"/>
      <c r="I114" s="444"/>
      <c r="L114" s="420"/>
      <c r="M114" s="421"/>
      <c r="N114" s="422"/>
    </row>
    <row r="115" spans="1:14">
      <c r="A115" s="444"/>
      <c r="B115" s="444"/>
      <c r="C115" s="444"/>
      <c r="D115" s="444"/>
      <c r="E115" s="444"/>
      <c r="F115" s="444"/>
      <c r="G115" s="444"/>
      <c r="H115" s="444"/>
      <c r="I115" s="444"/>
      <c r="L115" s="420"/>
      <c r="M115" s="421"/>
      <c r="N115" s="422"/>
    </row>
    <row r="116" spans="1:14">
      <c r="A116" s="444"/>
      <c r="B116" s="444"/>
      <c r="C116" s="444"/>
      <c r="D116" s="444"/>
      <c r="E116" s="444"/>
      <c r="F116" s="444"/>
      <c r="G116" s="444"/>
      <c r="H116" s="444"/>
      <c r="I116" s="444"/>
      <c r="L116" s="420"/>
      <c r="M116" s="421"/>
      <c r="N116" s="422"/>
    </row>
    <row r="117" spans="1:14">
      <c r="A117" s="444"/>
      <c r="B117" s="444"/>
      <c r="C117" s="444"/>
      <c r="D117" s="444"/>
      <c r="E117" s="444"/>
      <c r="F117" s="444"/>
      <c r="G117" s="444"/>
      <c r="H117" s="444"/>
      <c r="I117" s="444"/>
      <c r="L117" s="420"/>
      <c r="M117" s="421"/>
      <c r="N117" s="422"/>
    </row>
    <row r="118" spans="1:14">
      <c r="A118" s="444"/>
      <c r="B118" s="444"/>
      <c r="C118" s="444"/>
      <c r="D118" s="444"/>
      <c r="E118" s="444"/>
      <c r="F118" s="444"/>
      <c r="G118" s="444"/>
      <c r="H118" s="444"/>
      <c r="I118" s="444"/>
      <c r="L118" s="420"/>
      <c r="M118" s="421"/>
      <c r="N118" s="422"/>
    </row>
    <row r="119" spans="1:14">
      <c r="A119" s="444"/>
      <c r="B119" s="444"/>
      <c r="C119" s="444"/>
      <c r="D119" s="444"/>
      <c r="E119" s="444"/>
      <c r="F119" s="444"/>
      <c r="G119" s="444"/>
      <c r="H119" s="444"/>
      <c r="I119" s="444"/>
      <c r="L119" s="420"/>
      <c r="M119" s="421"/>
      <c r="N119" s="422"/>
    </row>
    <row r="120" spans="1:14">
      <c r="A120" s="444"/>
      <c r="B120" s="444"/>
      <c r="C120" s="444"/>
      <c r="D120" s="444"/>
      <c r="E120" s="444"/>
      <c r="F120" s="444"/>
      <c r="G120" s="444"/>
      <c r="H120" s="444"/>
      <c r="I120" s="444"/>
      <c r="L120" s="420"/>
      <c r="M120" s="421"/>
      <c r="N120" s="422"/>
    </row>
    <row r="121" spans="1:14">
      <c r="A121" s="444"/>
      <c r="B121" s="444"/>
      <c r="C121" s="444"/>
      <c r="D121" s="444"/>
      <c r="E121" s="444"/>
      <c r="F121" s="444"/>
      <c r="G121" s="444"/>
      <c r="H121" s="444"/>
      <c r="I121" s="444"/>
      <c r="L121" s="420"/>
      <c r="M121" s="421"/>
      <c r="N121" s="422"/>
    </row>
    <row r="122" spans="1:14">
      <c r="A122" s="444"/>
      <c r="B122" s="444"/>
      <c r="C122" s="444"/>
      <c r="D122" s="444"/>
      <c r="E122" s="444"/>
      <c r="F122" s="444"/>
      <c r="G122" s="444"/>
      <c r="H122" s="444"/>
      <c r="I122" s="444"/>
      <c r="L122" s="420"/>
      <c r="M122" s="421"/>
      <c r="N122" s="422"/>
    </row>
    <row r="123" spans="1:14">
      <c r="A123" s="444"/>
      <c r="B123" s="444"/>
      <c r="C123" s="444"/>
      <c r="D123" s="444"/>
      <c r="E123" s="444"/>
      <c r="F123" s="444"/>
      <c r="G123" s="444"/>
      <c r="H123" s="444"/>
      <c r="I123" s="444"/>
      <c r="L123" s="420"/>
      <c r="M123" s="421"/>
      <c r="N123" s="422"/>
    </row>
    <row r="124" spans="1:14">
      <c r="A124" s="444"/>
      <c r="B124" s="444"/>
      <c r="C124" s="444"/>
      <c r="D124" s="444"/>
      <c r="E124" s="444"/>
      <c r="F124" s="444"/>
      <c r="G124" s="444"/>
      <c r="H124" s="444"/>
      <c r="I124" s="444"/>
      <c r="L124" s="420"/>
      <c r="M124" s="421"/>
      <c r="N124" s="422"/>
    </row>
    <row r="125" spans="1:14">
      <c r="A125" s="444"/>
      <c r="B125" s="444"/>
      <c r="C125" s="444"/>
      <c r="D125" s="444"/>
      <c r="E125" s="444"/>
      <c r="F125" s="444"/>
      <c r="G125" s="444"/>
      <c r="H125" s="444"/>
      <c r="I125" s="444"/>
      <c r="L125" s="420"/>
      <c r="M125" s="421"/>
      <c r="N125" s="422"/>
    </row>
    <row r="126" spans="1:14">
      <c r="A126" s="444"/>
      <c r="B126" s="444"/>
      <c r="C126" s="444"/>
      <c r="D126" s="444"/>
      <c r="E126" s="444"/>
      <c r="F126" s="444"/>
      <c r="G126" s="444"/>
      <c r="H126" s="444"/>
      <c r="I126" s="444"/>
      <c r="L126" s="420"/>
      <c r="M126" s="421"/>
      <c r="N126" s="422"/>
    </row>
    <row r="127" spans="1:14">
      <c r="A127" s="444"/>
      <c r="B127" s="444"/>
      <c r="C127" s="444"/>
      <c r="D127" s="444"/>
      <c r="E127" s="444"/>
      <c r="F127" s="444"/>
      <c r="G127" s="444"/>
      <c r="H127" s="444"/>
      <c r="I127" s="444"/>
      <c r="L127" s="420"/>
      <c r="M127" s="421"/>
      <c r="N127" s="422"/>
    </row>
    <row r="128" spans="1:14">
      <c r="A128" s="444"/>
      <c r="B128" s="444"/>
      <c r="C128" s="444"/>
      <c r="D128" s="444"/>
      <c r="E128" s="444"/>
      <c r="F128" s="444"/>
      <c r="G128" s="444"/>
      <c r="H128" s="444"/>
      <c r="I128" s="444"/>
      <c r="L128" s="420"/>
      <c r="M128" s="421"/>
      <c r="N128" s="422"/>
    </row>
    <row r="129" spans="1:14">
      <c r="A129" s="444"/>
      <c r="B129" s="444"/>
      <c r="C129" s="444"/>
      <c r="D129" s="444"/>
      <c r="E129" s="444"/>
      <c r="F129" s="444"/>
      <c r="G129" s="444"/>
      <c r="H129" s="444"/>
      <c r="I129" s="444"/>
      <c r="L129" s="420"/>
      <c r="M129" s="421"/>
      <c r="N129" s="422"/>
    </row>
    <row r="130" spans="1:14">
      <c r="A130" s="444"/>
      <c r="B130" s="444"/>
      <c r="C130" s="444"/>
      <c r="D130" s="444"/>
      <c r="E130" s="444"/>
      <c r="F130" s="444"/>
      <c r="G130" s="444"/>
      <c r="H130" s="444"/>
      <c r="I130" s="444"/>
      <c r="L130" s="420"/>
      <c r="M130" s="421"/>
      <c r="N130" s="422"/>
    </row>
    <row r="131" spans="1:14">
      <c r="A131" s="444"/>
      <c r="B131" s="444"/>
      <c r="C131" s="444"/>
      <c r="D131" s="444"/>
      <c r="E131" s="444"/>
      <c r="F131" s="444"/>
      <c r="G131" s="444"/>
      <c r="H131" s="444"/>
      <c r="I131" s="444"/>
      <c r="L131" s="420"/>
      <c r="M131" s="421"/>
      <c r="N131" s="422"/>
    </row>
    <row r="132" spans="1:14">
      <c r="A132" s="444"/>
      <c r="B132" s="444"/>
      <c r="C132" s="444"/>
      <c r="D132" s="444"/>
      <c r="E132" s="444"/>
      <c r="F132" s="444"/>
      <c r="G132" s="444"/>
      <c r="H132" s="444"/>
      <c r="I132" s="444"/>
      <c r="L132" s="420"/>
      <c r="M132" s="421"/>
      <c r="N132" s="422"/>
    </row>
    <row r="133" spans="1:14">
      <c r="A133" s="444"/>
      <c r="B133" s="444"/>
      <c r="C133" s="444"/>
      <c r="D133" s="444"/>
      <c r="E133" s="444"/>
      <c r="F133" s="444"/>
      <c r="G133" s="444"/>
      <c r="H133" s="444"/>
      <c r="I133" s="444"/>
      <c r="L133" s="420"/>
      <c r="M133" s="421"/>
      <c r="N133" s="422"/>
    </row>
    <row r="134" spans="1:14">
      <c r="A134" s="444"/>
      <c r="B134" s="444"/>
      <c r="C134" s="444"/>
      <c r="D134" s="444"/>
      <c r="E134" s="444"/>
      <c r="F134" s="444"/>
      <c r="G134" s="444"/>
      <c r="H134" s="444"/>
      <c r="I134" s="444"/>
      <c r="L134" s="420"/>
      <c r="M134" s="421"/>
      <c r="N134" s="422"/>
    </row>
    <row r="135" spans="1:14">
      <c r="A135" s="444"/>
      <c r="B135" s="444"/>
      <c r="C135" s="444"/>
      <c r="D135" s="444"/>
      <c r="E135" s="444"/>
      <c r="F135" s="444"/>
      <c r="G135" s="444"/>
      <c r="H135" s="444"/>
      <c r="I135" s="444"/>
      <c r="L135" s="420"/>
      <c r="M135" s="421"/>
      <c r="N135" s="422"/>
    </row>
    <row r="136" spans="1:14">
      <c r="A136" s="444"/>
      <c r="B136" s="444"/>
      <c r="C136" s="444"/>
      <c r="D136" s="444"/>
      <c r="E136" s="444"/>
      <c r="F136" s="444"/>
      <c r="G136" s="444"/>
      <c r="H136" s="444"/>
      <c r="I136" s="444"/>
      <c r="L136" s="420"/>
      <c r="M136" s="421"/>
      <c r="N136" s="422"/>
    </row>
    <row r="137" spans="1:14">
      <c r="A137" s="444"/>
      <c r="B137" s="444"/>
      <c r="C137" s="444"/>
      <c r="D137" s="444"/>
      <c r="E137" s="444"/>
      <c r="F137" s="444"/>
      <c r="G137" s="444"/>
      <c r="H137" s="444"/>
      <c r="I137" s="444"/>
      <c r="L137" s="420"/>
      <c r="M137" s="421"/>
      <c r="N137" s="422"/>
    </row>
    <row r="138" spans="1:14">
      <c r="A138" s="444"/>
      <c r="B138" s="444"/>
      <c r="C138" s="444"/>
      <c r="D138" s="444"/>
      <c r="E138" s="444"/>
      <c r="F138" s="444"/>
      <c r="G138" s="444"/>
      <c r="H138" s="444"/>
      <c r="I138" s="444"/>
      <c r="L138" s="420"/>
      <c r="M138" s="421"/>
      <c r="N138" s="422"/>
    </row>
    <row r="139" spans="1:14">
      <c r="L139" s="420"/>
      <c r="M139" s="421"/>
      <c r="N139" s="422"/>
    </row>
    <row r="140" spans="1:14">
      <c r="L140" s="420"/>
      <c r="M140" s="421"/>
      <c r="N140" s="422"/>
    </row>
    <row r="141" spans="1:14">
      <c r="L141" s="420"/>
      <c r="M141" s="421"/>
      <c r="N141" s="422"/>
    </row>
    <row r="142" spans="1:14">
      <c r="L142" s="420"/>
      <c r="M142" s="421"/>
      <c r="N142" s="422"/>
    </row>
    <row r="143" spans="1:14">
      <c r="L143" s="420"/>
      <c r="M143" s="421"/>
      <c r="N143" s="422"/>
    </row>
    <row r="144" spans="1:14">
      <c r="L144" s="420"/>
      <c r="M144" s="421"/>
      <c r="N144" s="422"/>
    </row>
    <row r="145" spans="12:14">
      <c r="L145" s="420"/>
      <c r="M145" s="421"/>
      <c r="N145" s="422"/>
    </row>
    <row r="146" spans="12:14">
      <c r="L146" s="420"/>
      <c r="M146" s="421"/>
      <c r="N146" s="422"/>
    </row>
    <row r="147" spans="12:14">
      <c r="L147" s="420"/>
      <c r="M147" s="421"/>
      <c r="N147" s="422"/>
    </row>
    <row r="148" spans="12:14">
      <c r="L148" s="420"/>
      <c r="M148" s="421"/>
      <c r="N148" s="422"/>
    </row>
    <row r="149" spans="12:14">
      <c r="L149" s="420"/>
      <c r="M149" s="421"/>
      <c r="N149" s="422"/>
    </row>
    <row r="150" spans="12:14">
      <c r="L150" s="420"/>
      <c r="M150" s="421"/>
      <c r="N150" s="422"/>
    </row>
    <row r="151" spans="12:14">
      <c r="L151" s="420"/>
      <c r="M151" s="421"/>
      <c r="N151" s="422"/>
    </row>
    <row r="152" spans="12:14">
      <c r="L152" s="420"/>
      <c r="M152" s="421"/>
      <c r="N152" s="422"/>
    </row>
    <row r="153" spans="12:14">
      <c r="L153" s="420"/>
      <c r="M153" s="421"/>
      <c r="N153" s="422"/>
    </row>
    <row r="154" spans="12:14">
      <c r="L154" s="420"/>
      <c r="M154" s="421"/>
      <c r="N154" s="422"/>
    </row>
    <row r="155" spans="12:14">
      <c r="L155" s="420"/>
      <c r="M155" s="421"/>
      <c r="N155" s="422"/>
    </row>
    <row r="156" spans="12:14">
      <c r="L156" s="420"/>
      <c r="M156" s="421"/>
      <c r="N156" s="422"/>
    </row>
    <row r="157" spans="12:14">
      <c r="L157" s="420"/>
      <c r="M157" s="421"/>
      <c r="N157" s="422"/>
    </row>
    <row r="158" spans="12:14">
      <c r="L158" s="420"/>
      <c r="M158" s="421"/>
      <c r="N158" s="422"/>
    </row>
    <row r="159" spans="12:14">
      <c r="L159" s="420"/>
      <c r="M159" s="421"/>
      <c r="N159" s="422"/>
    </row>
    <row r="160" spans="12:14">
      <c r="L160" s="420"/>
      <c r="M160" s="421"/>
      <c r="N160" s="422"/>
    </row>
    <row r="161" spans="12:14">
      <c r="L161" s="420"/>
      <c r="M161" s="421"/>
      <c r="N161" s="422"/>
    </row>
    <row r="162" spans="12:14">
      <c r="L162" s="420"/>
      <c r="M162" s="421"/>
      <c r="N162" s="422"/>
    </row>
    <row r="163" spans="12:14">
      <c r="L163" s="420"/>
      <c r="M163" s="421"/>
      <c r="N163" s="422"/>
    </row>
    <row r="164" spans="12:14">
      <c r="L164" s="420"/>
      <c r="M164" s="421"/>
      <c r="N164" s="422"/>
    </row>
    <row r="165" spans="12:14">
      <c r="L165" s="420"/>
      <c r="M165" s="421"/>
      <c r="N165" s="422"/>
    </row>
    <row r="166" spans="12:14">
      <c r="L166" s="420"/>
      <c r="M166" s="421"/>
      <c r="N166" s="422"/>
    </row>
    <row r="167" spans="12:14">
      <c r="L167" s="420"/>
      <c r="M167" s="421"/>
      <c r="N167" s="422"/>
    </row>
    <row r="168" spans="12:14">
      <c r="L168" s="420"/>
      <c r="M168" s="421"/>
      <c r="N168" s="422"/>
    </row>
    <row r="169" spans="12:14">
      <c r="L169" s="420"/>
      <c r="M169" s="421"/>
      <c r="N169" s="422"/>
    </row>
    <row r="170" spans="12:14">
      <c r="L170" s="420"/>
      <c r="M170" s="421"/>
      <c r="N170" s="422"/>
    </row>
    <row r="171" spans="12:14">
      <c r="L171" s="420"/>
      <c r="M171" s="421"/>
      <c r="N171" s="422"/>
    </row>
    <row r="172" spans="12:14">
      <c r="L172" s="420"/>
      <c r="M172" s="421"/>
      <c r="N172" s="422"/>
    </row>
    <row r="173" spans="12:14">
      <c r="L173" s="420"/>
      <c r="M173" s="421"/>
      <c r="N173" s="422"/>
    </row>
    <row r="174" spans="12:14">
      <c r="L174" s="420"/>
      <c r="M174" s="421"/>
      <c r="N174" s="422"/>
    </row>
    <row r="175" spans="12:14">
      <c r="L175" s="420"/>
      <c r="M175" s="421"/>
      <c r="N175" s="422"/>
    </row>
    <row r="176" spans="12:14">
      <c r="L176" s="420"/>
      <c r="M176" s="421"/>
      <c r="N176" s="422"/>
    </row>
    <row r="177" spans="12:14">
      <c r="L177" s="420"/>
      <c r="M177" s="421"/>
      <c r="N177" s="422"/>
    </row>
    <row r="178" spans="12:14">
      <c r="L178" s="420"/>
      <c r="M178" s="421"/>
      <c r="N178" s="422"/>
    </row>
    <row r="179" spans="12:14">
      <c r="L179" s="420"/>
      <c r="M179" s="421"/>
      <c r="N179" s="422"/>
    </row>
    <row r="180" spans="12:14">
      <c r="L180" s="420"/>
      <c r="M180" s="421"/>
      <c r="N180" s="422"/>
    </row>
    <row r="181" spans="12:14">
      <c r="L181" s="420"/>
      <c r="M181" s="421"/>
      <c r="N181" s="422"/>
    </row>
  </sheetData>
  <mergeCells count="7">
    <mergeCell ref="F56:G56"/>
    <mergeCell ref="E8:I8"/>
    <mergeCell ref="E9:F10"/>
    <mergeCell ref="E24:I24"/>
    <mergeCell ref="E26:I26"/>
    <mergeCell ref="F41:G41"/>
    <mergeCell ref="F48:G48"/>
  </mergeCells>
  <pageMargins left="0.75" right="0.75" top="1" bottom="1" header="0.5" footer="0.5"/>
  <pageSetup scale="4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AV182"/>
  <sheetViews>
    <sheetView topLeftCell="F10" zoomScale="50" zoomScaleNormal="50" zoomScaleSheetLayoutView="70" workbookViewId="0">
      <selection activeCell="G18" sqref="G18"/>
    </sheetView>
  </sheetViews>
  <sheetFormatPr defaultRowHeight="23.5" outlineLevelRow="1" outlineLevelCol="1"/>
  <cols>
    <col min="1" max="4" width="9.1796875" style="339" hidden="1" customWidth="1" outlineLevel="1"/>
    <col min="5" max="5" width="92" style="339" customWidth="1" collapsed="1"/>
    <col min="6" max="6" width="37.81640625" style="339" bestFit="1" customWidth="1"/>
    <col min="7" max="7" width="38.7265625" style="339" customWidth="1"/>
    <col min="8" max="8" width="26.54296875" style="339" customWidth="1"/>
    <col min="9" max="9" width="26.26953125" style="339" customWidth="1"/>
    <col min="10" max="10" width="3.453125" style="419" customWidth="1"/>
    <col min="11" max="11" width="1.26953125" style="419" customWidth="1"/>
    <col min="12" max="12" width="24.26953125" style="388" bestFit="1" customWidth="1"/>
    <col min="13" max="13" width="24.7265625" style="389" customWidth="1"/>
    <col min="14" max="14" width="32.453125" style="402" customWidth="1"/>
    <col min="15" max="15" width="5.1796875" style="419" customWidth="1"/>
    <col min="16" max="16" width="26.81640625" style="419" hidden="1" customWidth="1" outlineLevel="1"/>
    <col min="17" max="17" width="42.453125" style="419" hidden="1" customWidth="1" outlineLevel="1"/>
    <col min="18" max="18" width="58.7265625" style="444" customWidth="1" collapsed="1"/>
    <col min="19" max="19" width="24.81640625" style="444" customWidth="1"/>
    <col min="20" max="20" width="25" style="444" customWidth="1"/>
    <col min="21" max="21" width="21.1796875" style="444" customWidth="1"/>
    <col min="22" max="22" width="30.81640625" style="419" customWidth="1"/>
    <col min="23" max="44" width="8.7265625" style="419"/>
  </cols>
  <sheetData>
    <row r="1" spans="1:48" s="419" customFormat="1">
      <c r="L1" s="420"/>
      <c r="M1" s="421"/>
      <c r="N1" s="422"/>
      <c r="R1" s="444"/>
      <c r="S1" s="444"/>
      <c r="T1" s="444"/>
      <c r="U1" s="444"/>
    </row>
    <row r="2" spans="1:48" s="419" customFormat="1">
      <c r="L2" s="420"/>
      <c r="M2" s="421"/>
      <c r="N2" s="422"/>
      <c r="R2" s="444"/>
      <c r="S2" s="444"/>
      <c r="T2" s="444"/>
      <c r="U2" s="444"/>
    </row>
    <row r="3" spans="1:48" s="419" customFormat="1">
      <c r="L3" s="420"/>
      <c r="M3" s="421"/>
      <c r="N3" s="422"/>
      <c r="R3" s="444"/>
      <c r="S3" s="444"/>
      <c r="T3" s="444"/>
      <c r="U3" s="444"/>
    </row>
    <row r="4" spans="1:48" s="419" customFormat="1">
      <c r="L4" s="420"/>
      <c r="M4" s="421"/>
      <c r="N4" s="422"/>
      <c r="R4" s="444"/>
      <c r="S4" s="444"/>
      <c r="T4" s="444"/>
      <c r="U4" s="444"/>
    </row>
    <row r="5" spans="1:48" s="419" customFormat="1">
      <c r="L5" s="420"/>
      <c r="M5" s="421"/>
      <c r="N5" s="422"/>
      <c r="R5" s="444"/>
      <c r="S5" s="444"/>
      <c r="T5" s="444"/>
      <c r="U5" s="444"/>
    </row>
    <row r="6" spans="1:48" s="419" customFormat="1">
      <c r="L6" s="420"/>
      <c r="M6" s="421"/>
      <c r="N6" s="422"/>
      <c r="R6" s="444"/>
      <c r="S6" s="444"/>
      <c r="T6" s="444"/>
      <c r="U6" s="444"/>
    </row>
    <row r="7" spans="1:48" s="419" customFormat="1" ht="24" thickBot="1">
      <c r="L7" s="420"/>
      <c r="M7" s="421"/>
      <c r="N7" s="422"/>
      <c r="R7" s="444"/>
      <c r="S7" s="444"/>
      <c r="T7" s="444"/>
      <c r="U7" s="444"/>
    </row>
    <row r="8" spans="1:48" s="152" customFormat="1" ht="100.5" customHeight="1" thickBot="1">
      <c r="A8" s="357"/>
      <c r="B8" s="357"/>
      <c r="C8" s="357"/>
      <c r="D8" s="357"/>
      <c r="E8" s="631" t="s">
        <v>391</v>
      </c>
      <c r="F8" s="632"/>
      <c r="G8" s="632"/>
      <c r="H8" s="632"/>
      <c r="I8" s="633"/>
      <c r="J8" s="423"/>
      <c r="K8" s="423"/>
      <c r="L8" s="424"/>
      <c r="M8" s="425"/>
      <c r="N8" s="426" t="s">
        <v>58</v>
      </c>
      <c r="O8" s="423"/>
      <c r="P8" s="423"/>
      <c r="Q8" s="423"/>
      <c r="R8" s="500"/>
      <c r="S8" s="500"/>
      <c r="T8" s="500"/>
      <c r="U8" s="500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  <c r="AG8" s="423"/>
      <c r="AH8" s="423"/>
      <c r="AI8" s="423"/>
      <c r="AJ8" s="423"/>
      <c r="AK8" s="423"/>
      <c r="AL8" s="423"/>
      <c r="AM8" s="423"/>
      <c r="AN8" s="423"/>
      <c r="AO8" s="423"/>
      <c r="AP8" s="423"/>
      <c r="AQ8" s="423"/>
      <c r="AR8" s="423"/>
      <c r="AS8" s="423"/>
      <c r="AT8" s="423"/>
      <c r="AU8" s="423"/>
      <c r="AV8" s="423"/>
    </row>
    <row r="9" spans="1:48" ht="24" customHeight="1" thickBot="1">
      <c r="E9" s="634" t="s">
        <v>387</v>
      </c>
      <c r="F9" s="635"/>
      <c r="G9" s="419"/>
      <c r="H9" s="419"/>
      <c r="I9" s="495">
        <f ca="1">NOW()</f>
        <v>46084.282846759263</v>
      </c>
      <c r="L9" s="474" t="s">
        <v>392</v>
      </c>
      <c r="M9" s="497">
        <v>4000</v>
      </c>
      <c r="N9" s="422"/>
      <c r="P9" s="496">
        <f ca="1">DAY(EOMONTH(I9,0))</f>
        <v>31</v>
      </c>
      <c r="Q9" s="419" t="s">
        <v>396</v>
      </c>
      <c r="R9" s="615" t="s">
        <v>400</v>
      </c>
      <c r="S9" s="616"/>
      <c r="T9" s="616"/>
      <c r="U9" s="616"/>
      <c r="V9" s="617"/>
      <c r="AS9" s="419"/>
      <c r="AT9" s="419"/>
      <c r="AU9" s="419"/>
      <c r="AV9" s="419"/>
    </row>
    <row r="10" spans="1:48" ht="52" customHeight="1" thickBot="1">
      <c r="E10" s="634"/>
      <c r="F10" s="635"/>
      <c r="G10" s="466" t="s">
        <v>389</v>
      </c>
      <c r="H10" s="467" t="s">
        <v>384</v>
      </c>
      <c r="I10" s="468" t="s">
        <v>385</v>
      </c>
      <c r="L10" s="498" t="s">
        <v>395</v>
      </c>
      <c r="M10" s="499">
        <f ca="1">$P$9-DAY(I9)</f>
        <v>28</v>
      </c>
      <c r="N10" s="427" t="s">
        <v>376</v>
      </c>
      <c r="R10" s="618"/>
      <c r="S10" s="619"/>
      <c r="T10" s="619"/>
      <c r="U10" s="619"/>
      <c r="V10" s="620"/>
    </row>
    <row r="11" spans="1:48" ht="34" thickBot="1">
      <c r="E11" s="480" t="s">
        <v>388</v>
      </c>
      <c r="F11" s="464">
        <v>1</v>
      </c>
      <c r="G11" s="469" t="s">
        <v>380</v>
      </c>
      <c r="H11" s="418">
        <v>0</v>
      </c>
      <c r="I11" s="470">
        <v>3000</v>
      </c>
      <c r="L11" s="474" t="s">
        <v>375</v>
      </c>
      <c r="M11" s="492">
        <f>F38</f>
        <v>20000</v>
      </c>
      <c r="N11" s="477" t="str">
        <f>IF(F37&lt;F35,"BASED ON IGIR","BASED ON NTHP")</f>
        <v>BASED ON IGIR</v>
      </c>
      <c r="R11" s="621" t="s">
        <v>397</v>
      </c>
      <c r="S11" s="653">
        <f ca="1">H15+F14+F32</f>
        <v>421421.59333333332</v>
      </c>
      <c r="T11" s="501"/>
      <c r="U11" s="501"/>
    </row>
    <row r="12" spans="1:48" ht="34" thickBot="1">
      <c r="E12" s="471" t="s">
        <v>333</v>
      </c>
      <c r="F12" s="465">
        <v>50000</v>
      </c>
      <c r="G12" s="471" t="s">
        <v>381</v>
      </c>
      <c r="H12" s="417">
        <v>0</v>
      </c>
      <c r="I12" s="472">
        <v>0</v>
      </c>
      <c r="L12" s="420"/>
      <c r="M12" s="421"/>
      <c r="N12" s="427" t="s">
        <v>378</v>
      </c>
      <c r="O12" s="428"/>
      <c r="R12" s="622"/>
      <c r="S12" s="654"/>
      <c r="T12" s="501"/>
      <c r="U12" s="501"/>
    </row>
    <row r="13" spans="1:48" ht="34" thickBot="1">
      <c r="E13" s="471" t="s">
        <v>345</v>
      </c>
      <c r="F13" s="465">
        <v>20000</v>
      </c>
      <c r="G13" s="471" t="s">
        <v>382</v>
      </c>
      <c r="H13" s="417">
        <v>0</v>
      </c>
      <c r="I13" s="472">
        <v>0</v>
      </c>
      <c r="L13" s="475" t="s">
        <v>371</v>
      </c>
      <c r="M13" s="399">
        <v>414334</v>
      </c>
      <c r="N13" s="478">
        <f ca="1">M13-F14-H15-F32</f>
        <v>-7087.5933333333342</v>
      </c>
      <c r="R13" s="519" t="s">
        <v>402</v>
      </c>
      <c r="S13" s="518">
        <f>F13-I15</f>
        <v>17000</v>
      </c>
      <c r="T13" s="501"/>
      <c r="U13" s="501"/>
    </row>
    <row r="14" spans="1:48" ht="34" thickBot="1">
      <c r="E14" s="471" t="s">
        <v>334</v>
      </c>
      <c r="F14" s="465">
        <v>400000</v>
      </c>
      <c r="G14" s="471" t="s">
        <v>383</v>
      </c>
      <c r="H14" s="417">
        <v>0</v>
      </c>
      <c r="I14" s="472">
        <v>0</v>
      </c>
      <c r="L14" s="439" t="s">
        <v>336</v>
      </c>
      <c r="M14" s="443" t="s">
        <v>372</v>
      </c>
      <c r="N14" s="427" t="s">
        <v>377</v>
      </c>
      <c r="R14" s="514" t="s">
        <v>336</v>
      </c>
      <c r="S14" s="515" t="s">
        <v>372</v>
      </c>
      <c r="T14" s="516" t="s">
        <v>398</v>
      </c>
      <c r="U14" s="514" t="s">
        <v>399</v>
      </c>
      <c r="V14" s="517" t="s">
        <v>401</v>
      </c>
      <c r="W14" s="444"/>
      <c r="X14" s="444"/>
    </row>
    <row r="15" spans="1:48" ht="34" thickBot="1">
      <c r="E15" s="471" t="s">
        <v>335</v>
      </c>
      <c r="F15" s="465">
        <v>17000</v>
      </c>
      <c r="G15" s="473" t="s">
        <v>386</v>
      </c>
      <c r="H15" s="487">
        <f>SUM(H11:H14)</f>
        <v>0</v>
      </c>
      <c r="I15" s="488">
        <f>SUM(I11:I14)</f>
        <v>3000</v>
      </c>
      <c r="L15" s="489" t="s">
        <v>339</v>
      </c>
      <c r="M15" s="490">
        <f>-PMT(F18/12,48,M13)</f>
        <v>10911.003369852358</v>
      </c>
      <c r="N15" s="479" t="str">
        <f>IF(M15&gt;$M$11,"CANNOT BE","OK")</f>
        <v>OK</v>
      </c>
      <c r="R15" s="510" t="s">
        <v>339</v>
      </c>
      <c r="S15" s="511">
        <f>-PMT(F18/12,48,M13)</f>
        <v>10911.003369852358</v>
      </c>
      <c r="T15" s="512">
        <f>S15/$F$12</f>
        <v>0.21822006739704716</v>
      </c>
      <c r="U15" s="520">
        <f>$F$13+$I$15+$F$15-S15</f>
        <v>29088.996630147642</v>
      </c>
      <c r="V15" s="513">
        <f>U15-($F$13-$I$15)</f>
        <v>12088.996630147642</v>
      </c>
    </row>
    <row r="16" spans="1:48" ht="34" thickBot="1">
      <c r="E16" s="430"/>
      <c r="F16" s="431"/>
      <c r="G16" s="432"/>
      <c r="H16" s="432"/>
      <c r="I16" s="433"/>
      <c r="L16" s="489" t="s">
        <v>340</v>
      </c>
      <c r="M16" s="490">
        <f>-PMT(G18/12,36,M13)</f>
        <v>13369.392738771459</v>
      </c>
      <c r="N16" s="479" t="str">
        <f>IF(M16&gt;$M$11,"CANNOT BE","OK")</f>
        <v>OK</v>
      </c>
      <c r="R16" s="504" t="s">
        <v>340</v>
      </c>
      <c r="S16" s="502">
        <f>-PMT(G18/12,36,M13)</f>
        <v>13369.392738771459</v>
      </c>
      <c r="T16" s="503">
        <f t="shared" ref="T16:T18" si="0">S16/$F$12</f>
        <v>0.2673878547754292</v>
      </c>
      <c r="U16" s="521">
        <f t="shared" ref="U16:U18" si="1">$F$13+$I$15+$F$15-S16</f>
        <v>26630.607261228542</v>
      </c>
      <c r="V16" s="505">
        <f t="shared" ref="V16:V18" si="2">U16-($F$13-$I$15)</f>
        <v>9630.6072612285425</v>
      </c>
    </row>
    <row r="17" spans="1:22" ht="29" thickBot="1">
      <c r="E17" s="471" t="s">
        <v>336</v>
      </c>
      <c r="F17" s="481" t="s">
        <v>339</v>
      </c>
      <c r="G17" s="481" t="s">
        <v>340</v>
      </c>
      <c r="H17" s="481" t="s">
        <v>341</v>
      </c>
      <c r="I17" s="482" t="s">
        <v>342</v>
      </c>
      <c r="L17" s="489" t="s">
        <v>341</v>
      </c>
      <c r="M17" s="490">
        <f>-PMT(H18/12,24,M13)</f>
        <v>19119.411909128561</v>
      </c>
      <c r="N17" s="479" t="str">
        <f>IF(M17&gt;$M$11,"CANNOT BE","OK")</f>
        <v>OK</v>
      </c>
      <c r="R17" s="504" t="s">
        <v>341</v>
      </c>
      <c r="S17" s="502">
        <f>-PMT(H18/12,24,M13)</f>
        <v>19119.411909128561</v>
      </c>
      <c r="T17" s="503">
        <f t="shared" si="0"/>
        <v>0.38238823818257123</v>
      </c>
      <c r="U17" s="521">
        <f t="shared" si="1"/>
        <v>20880.588090871439</v>
      </c>
      <c r="V17" s="505">
        <f t="shared" si="2"/>
        <v>3880.5880908714389</v>
      </c>
    </row>
    <row r="18" spans="1:22" ht="29" thickBot="1">
      <c r="E18" s="471" t="s">
        <v>357</v>
      </c>
      <c r="F18" s="483">
        <v>0.12</v>
      </c>
      <c r="G18" s="483">
        <v>0.1</v>
      </c>
      <c r="H18" s="483">
        <v>0.1</v>
      </c>
      <c r="I18" s="483">
        <v>0.1</v>
      </c>
      <c r="L18" s="489" t="s">
        <v>342</v>
      </c>
      <c r="M18" s="490">
        <f>-PMT(I18/12,12,M13)</f>
        <v>36426.5412195588</v>
      </c>
      <c r="N18" s="479" t="str">
        <f>IF(M18&gt;$M$11,"CANNOT BE","OK")</f>
        <v>CANNOT BE</v>
      </c>
      <c r="R18" s="506" t="s">
        <v>342</v>
      </c>
      <c r="S18" s="507">
        <f>-PMT(I18/12,12,M13)</f>
        <v>36426.5412195588</v>
      </c>
      <c r="T18" s="508">
        <f t="shared" si="0"/>
        <v>0.728530824391176</v>
      </c>
      <c r="U18" s="522">
        <f t="shared" si="1"/>
        <v>3573.4587804412004</v>
      </c>
      <c r="V18" s="509">
        <f t="shared" si="2"/>
        <v>-13426.5412195588</v>
      </c>
    </row>
    <row r="19" spans="1:22" ht="29" thickBot="1">
      <c r="E19" s="471" t="s">
        <v>346</v>
      </c>
      <c r="F19" s="486">
        <f>ROUNDDOWN(-PV(F18/12,48,F38),-2)</f>
        <v>759400</v>
      </c>
      <c r="G19" s="486">
        <f>ROUNDDOWN(-PV(G18/12,36,F38),-2)</f>
        <v>619800</v>
      </c>
      <c r="H19" s="486">
        <f>ROUNDDOWN(-PV(H18/12,24,F38),-2)</f>
        <v>433400</v>
      </c>
      <c r="I19" s="486">
        <f>ROUNDDOWN(-PV(I18/12,12,F38),-2)</f>
        <v>227400</v>
      </c>
      <c r="L19" s="441"/>
      <c r="M19" s="442"/>
      <c r="N19" s="422"/>
    </row>
    <row r="20" spans="1:22" ht="29" thickBot="1">
      <c r="E20" s="471" t="s">
        <v>337</v>
      </c>
      <c r="F20" s="484">
        <f>-PMT(F18/12,48,F19)</f>
        <v>19997.914627005946</v>
      </c>
      <c r="G20" s="484">
        <f>-PMT(G18/12,36,G19)</f>
        <v>19999.202622740475</v>
      </c>
      <c r="H20" s="484">
        <f>-PMT(H18/12,24,H19)</f>
        <v>19999.21107467965</v>
      </c>
      <c r="I20" s="484">
        <f>-PMT(I18/12,12,I19)</f>
        <v>19992.072756104182</v>
      </c>
      <c r="L20" s="476" t="s">
        <v>372</v>
      </c>
      <c r="M20" s="493">
        <v>19999.18</v>
      </c>
      <c r="N20" s="494" t="str">
        <f>IF(M20&gt;M11,"CANNOT BE","OK")</f>
        <v>OK</v>
      </c>
    </row>
    <row r="21" spans="1:22" ht="29" thickBot="1">
      <c r="E21" s="471" t="s">
        <v>343</v>
      </c>
      <c r="F21" s="486">
        <f ca="1">F19-F14-F32-H15</f>
        <v>337978.40666666668</v>
      </c>
      <c r="G21" s="486">
        <f ca="1">G19-F14-G32-H15</f>
        <v>204777.34133333334</v>
      </c>
      <c r="H21" s="486">
        <f ca="1">H19-F14-H32-H15</f>
        <v>23510.339111111112</v>
      </c>
      <c r="I21" s="486">
        <f ca="1">I19-F14-I32-H15</f>
        <v>-177085.25666666665</v>
      </c>
      <c r="L21" s="439" t="s">
        <v>336</v>
      </c>
      <c r="M21" s="443" t="s">
        <v>373</v>
      </c>
      <c r="N21" s="427" t="s">
        <v>378</v>
      </c>
    </row>
    <row r="22" spans="1:22" ht="29" thickBot="1">
      <c r="E22" s="471" t="s">
        <v>344</v>
      </c>
      <c r="F22" s="485">
        <f>$F$13-F20+$F$15+$I$15</f>
        <v>20002.085372994054</v>
      </c>
      <c r="G22" s="485">
        <f>$F$13-G20+$F$15+I15</f>
        <v>20000.797377259525</v>
      </c>
      <c r="H22" s="485">
        <f>$F$13-H20+$F$15+I15</f>
        <v>20000.78892532035</v>
      </c>
      <c r="I22" s="485">
        <f>$F$13-I20+$F$15+I15</f>
        <v>20007.927243895818</v>
      </c>
      <c r="L22" s="489" t="s">
        <v>339</v>
      </c>
      <c r="M22" s="490">
        <f>-PV(F18/12,48,M20)</f>
        <v>759448.05122282088</v>
      </c>
      <c r="N22" s="491">
        <f ca="1">M22-$F$14-$H$15-F32</f>
        <v>338026.45788948756</v>
      </c>
    </row>
    <row r="23" spans="1:22" ht="29" thickBot="1">
      <c r="E23" s="434"/>
      <c r="F23" s="435"/>
      <c r="G23" s="435"/>
      <c r="H23" s="435"/>
      <c r="I23" s="436"/>
      <c r="L23" s="489" t="s">
        <v>340</v>
      </c>
      <c r="M23" s="490">
        <f>-PV(G18/12,36,M20)</f>
        <v>619799.29889331781</v>
      </c>
      <c r="N23" s="491">
        <f ca="1">M23-F14-H15-G32</f>
        <v>204776.64022665116</v>
      </c>
    </row>
    <row r="24" spans="1:22" ht="38.25" customHeight="1" thickBot="1">
      <c r="E24" s="636" t="s">
        <v>367</v>
      </c>
      <c r="F24" s="637"/>
      <c r="G24" s="637"/>
      <c r="H24" s="637"/>
      <c r="I24" s="638"/>
      <c r="L24" s="489" t="s">
        <v>341</v>
      </c>
      <c r="M24" s="490">
        <f>-PV(H18/12,24,M20)</f>
        <v>433399.3265851264</v>
      </c>
      <c r="N24" s="491">
        <f ca="1">M24-F14-H15-H32</f>
        <v>23509.665696237513</v>
      </c>
    </row>
    <row r="25" spans="1:22" ht="29" thickBot="1">
      <c r="E25" s="437"/>
      <c r="F25" s="435"/>
      <c r="G25" s="435"/>
      <c r="H25" s="419"/>
      <c r="I25" s="438" t="s">
        <v>369</v>
      </c>
      <c r="L25" s="489" t="s">
        <v>342</v>
      </c>
      <c r="M25" s="490">
        <f>-PV(I18/12,12,M20)</f>
        <v>227480.84140557161</v>
      </c>
      <c r="N25" s="491">
        <f ca="1">M25-F14-H15-I32</f>
        <v>-177004.41526109504</v>
      </c>
    </row>
    <row r="26" spans="1:22" ht="28.5" outlineLevel="1">
      <c r="A26" s="444"/>
      <c r="B26" s="444"/>
      <c r="C26" s="444"/>
      <c r="D26" s="444"/>
      <c r="E26" s="648" t="s">
        <v>368</v>
      </c>
      <c r="F26" s="649"/>
      <c r="G26" s="649"/>
      <c r="H26" s="649"/>
      <c r="I26" s="650"/>
      <c r="L26" s="420"/>
      <c r="M26" s="421"/>
      <c r="N26" s="422"/>
    </row>
    <row r="27" spans="1:22" outlineLevel="1">
      <c r="A27" s="444"/>
      <c r="B27" s="444"/>
      <c r="C27" s="444"/>
      <c r="D27" s="444"/>
      <c r="E27" s="445"/>
      <c r="F27" s="446"/>
      <c r="G27" s="446"/>
      <c r="H27" s="446"/>
      <c r="I27" s="447"/>
      <c r="L27" s="420"/>
      <c r="M27" s="421"/>
      <c r="N27" s="422"/>
    </row>
    <row r="28" spans="1:22" outlineLevel="1">
      <c r="A28" s="444"/>
      <c r="B28" s="444"/>
      <c r="C28" s="444"/>
      <c r="D28" s="444"/>
      <c r="E28" s="448" t="s">
        <v>365</v>
      </c>
      <c r="F28" s="449">
        <f>IF(F19*1%&lt;1500,F19*1%,1500)</f>
        <v>1500</v>
      </c>
      <c r="G28" s="449">
        <f>IF(G19*1%&lt;1500,G19*1%,1500)</f>
        <v>1500</v>
      </c>
      <c r="H28" s="449">
        <f>IF(H19*1%&lt;1500,H19*1%,1500)</f>
        <v>1500</v>
      </c>
      <c r="I28" s="450">
        <f>IF(I19*1%&lt;1500,I19*1%,1500)</f>
        <v>1500</v>
      </c>
      <c r="L28" s="420"/>
      <c r="M28" s="421"/>
      <c r="N28" s="422"/>
    </row>
    <row r="29" spans="1:22" outlineLevel="1">
      <c r="A29" s="444"/>
      <c r="B29" s="444"/>
      <c r="C29" s="444"/>
      <c r="D29" s="444"/>
      <c r="E29" s="448" t="s">
        <v>366</v>
      </c>
      <c r="F29" s="449">
        <f>IF(F19&lt;250000,0,F19/200)</f>
        <v>3797</v>
      </c>
      <c r="G29" s="449">
        <f>IF(G19&lt;250000,0,G19/200)</f>
        <v>3099</v>
      </c>
      <c r="H29" s="449">
        <f>IF(H19&lt;250000,0,H19/200)</f>
        <v>2167</v>
      </c>
      <c r="I29" s="450">
        <f>IF(I19&lt;250000,0,I19/200)</f>
        <v>0</v>
      </c>
      <c r="L29" s="420"/>
      <c r="M29" s="421"/>
      <c r="N29" s="422"/>
    </row>
    <row r="30" spans="1:22" outlineLevel="1">
      <c r="A30" s="444"/>
      <c r="B30" s="444"/>
      <c r="C30" s="444"/>
      <c r="D30" s="444"/>
      <c r="E30" s="448" t="s">
        <v>394</v>
      </c>
      <c r="F30" s="449">
        <f ca="1">F19*F18*$M$10/360</f>
        <v>7087.7333333333336</v>
      </c>
      <c r="G30" s="449">
        <f ca="1">G19*G18*$M$10/360</f>
        <v>4820.666666666667</v>
      </c>
      <c r="H30" s="449">
        <f ca="1">H19*H18*$M$10/360</f>
        <v>3370.8888888888887</v>
      </c>
      <c r="I30" s="449">
        <f ca="1">I19*I18*$M$10/360</f>
        <v>1768.6666666666667</v>
      </c>
      <c r="L30" s="420"/>
      <c r="M30" s="421"/>
      <c r="N30" s="422"/>
    </row>
    <row r="31" spans="1:22" outlineLevel="1">
      <c r="A31" s="444"/>
      <c r="B31" s="444"/>
      <c r="C31" s="444"/>
      <c r="D31" s="444"/>
      <c r="E31" s="448" t="s">
        <v>363</v>
      </c>
      <c r="F31" s="449">
        <f>(F19/1000)*G61</f>
        <v>9036.86</v>
      </c>
      <c r="G31" s="449">
        <f>G19*G60/1000</f>
        <v>5602.9919999999993</v>
      </c>
      <c r="H31" s="449">
        <f>H19*6.58/1000</f>
        <v>2851.7719999999999</v>
      </c>
      <c r="I31" s="450">
        <f>I19*G58/1000</f>
        <v>1216.5899999999999</v>
      </c>
      <c r="L31" s="420"/>
      <c r="M31" s="421"/>
      <c r="N31" s="422"/>
    </row>
    <row r="32" spans="1:22" ht="24" outlineLevel="1" thickBot="1">
      <c r="A32" s="444"/>
      <c r="B32" s="444"/>
      <c r="C32" s="444"/>
      <c r="D32" s="444"/>
      <c r="E32" s="451" t="s">
        <v>364</v>
      </c>
      <c r="F32" s="452">
        <f ca="1">SUM(F28:F31)</f>
        <v>21421.593333333334</v>
      </c>
      <c r="G32" s="452">
        <f ca="1">SUM(G28:G31)</f>
        <v>15022.658666666666</v>
      </c>
      <c r="H32" s="452">
        <f ca="1">SUM(H28:H31)</f>
        <v>9889.6608888888877</v>
      </c>
      <c r="I32" s="453">
        <f ca="1">SUM(I28:I31)</f>
        <v>4485.2566666666671</v>
      </c>
      <c r="L32" s="420"/>
      <c r="M32" s="421"/>
      <c r="N32" s="422"/>
    </row>
    <row r="33" spans="1:14" ht="24" outlineLevel="1" thickTop="1">
      <c r="A33" s="444"/>
      <c r="B33" s="444"/>
      <c r="C33" s="444"/>
      <c r="D33" s="444"/>
      <c r="E33" s="448"/>
      <c r="F33" s="449"/>
      <c r="G33" s="449"/>
      <c r="H33" s="449"/>
      <c r="I33" s="450"/>
      <c r="L33" s="420"/>
      <c r="M33" s="421"/>
      <c r="N33" s="422"/>
    </row>
    <row r="34" spans="1:14" ht="28.5" outlineLevel="1">
      <c r="A34" s="444"/>
      <c r="B34" s="444"/>
      <c r="C34" s="444"/>
      <c r="D34" s="444"/>
      <c r="E34" s="454" t="s">
        <v>390</v>
      </c>
      <c r="F34" s="455">
        <f>F13+F15+I15</f>
        <v>40000</v>
      </c>
      <c r="G34" s="444"/>
      <c r="H34" s="444"/>
      <c r="I34" s="456"/>
      <c r="L34" s="420"/>
      <c r="M34" s="421"/>
      <c r="N34" s="422"/>
    </row>
    <row r="35" spans="1:14" ht="28.5" outlineLevel="1">
      <c r="A35" s="444"/>
      <c r="B35" s="444"/>
      <c r="C35" s="444"/>
      <c r="D35" s="444"/>
      <c r="E35" s="454" t="s">
        <v>393</v>
      </c>
      <c r="F35" s="455">
        <f>F34-$M$9</f>
        <v>36000</v>
      </c>
      <c r="G35" s="444"/>
      <c r="H35" s="444"/>
      <c r="I35" s="456"/>
      <c r="L35" s="420"/>
      <c r="M35" s="421"/>
      <c r="N35" s="422"/>
    </row>
    <row r="36" spans="1:14" ht="28.5" outlineLevel="1">
      <c r="A36" s="444"/>
      <c r="B36" s="444"/>
      <c r="C36" s="444"/>
      <c r="D36" s="444"/>
      <c r="E36" s="454" t="s">
        <v>68</v>
      </c>
      <c r="F36" s="457">
        <f>IF(F11&gt;0,IF(F12&lt;10000,20%,IF(F12&lt;13000,30%,IF(F12&lt;38000,35%,40%))),IF(F12&lt;10000,10%,IF(F12&lt;13000,25%,30%)))</f>
        <v>0.4</v>
      </c>
      <c r="G36" s="444"/>
      <c r="H36" s="444"/>
      <c r="I36" s="456"/>
      <c r="L36" s="420"/>
      <c r="M36" s="421"/>
      <c r="N36" s="422"/>
    </row>
    <row r="37" spans="1:14" ht="28.5" outlineLevel="1">
      <c r="A37" s="444"/>
      <c r="B37" s="444"/>
      <c r="C37" s="444"/>
      <c r="D37" s="444"/>
      <c r="E37" s="454" t="s">
        <v>355</v>
      </c>
      <c r="F37" s="455">
        <f>F36*F12</f>
        <v>20000</v>
      </c>
      <c r="G37" s="444"/>
      <c r="H37" s="444"/>
      <c r="I37" s="456"/>
      <c r="L37" s="420"/>
      <c r="M37" s="421"/>
      <c r="N37" s="422"/>
    </row>
    <row r="38" spans="1:14" ht="28.5" outlineLevel="1">
      <c r="A38" s="444"/>
      <c r="B38" s="444"/>
      <c r="C38" s="444"/>
      <c r="D38" s="444"/>
      <c r="E38" s="454" t="s">
        <v>356</v>
      </c>
      <c r="F38" s="455">
        <f>IF(F35&lt;F37,F35,F37)</f>
        <v>20000</v>
      </c>
      <c r="G38" s="444"/>
      <c r="H38" s="444"/>
      <c r="I38" s="456"/>
      <c r="L38" s="420"/>
      <c r="M38" s="421"/>
      <c r="N38" s="422"/>
    </row>
    <row r="39" spans="1:14" outlineLevel="1">
      <c r="A39" s="444"/>
      <c r="B39" s="444"/>
      <c r="C39" s="444"/>
      <c r="D39" s="444"/>
      <c r="E39" s="445"/>
      <c r="F39" s="444"/>
      <c r="G39" s="444"/>
      <c r="H39" s="444"/>
      <c r="I39" s="456"/>
      <c r="L39" s="420"/>
      <c r="M39" s="421"/>
      <c r="N39" s="422"/>
    </row>
    <row r="40" spans="1:14" outlineLevel="1">
      <c r="A40" s="444"/>
      <c r="B40" s="444"/>
      <c r="C40" s="444"/>
      <c r="D40" s="444"/>
      <c r="E40" s="445"/>
      <c r="F40" s="444"/>
      <c r="G40" s="444"/>
      <c r="H40" s="444"/>
      <c r="I40" s="456"/>
      <c r="L40" s="420"/>
      <c r="M40" s="421"/>
      <c r="N40" s="422"/>
    </row>
    <row r="41" spans="1:14" ht="24" outlineLevel="1" thickBot="1">
      <c r="A41" s="444"/>
      <c r="B41" s="444"/>
      <c r="C41" s="444"/>
      <c r="D41" s="444"/>
      <c r="E41" s="445"/>
      <c r="F41" s="444"/>
      <c r="G41" s="444"/>
      <c r="H41" s="444"/>
      <c r="I41" s="456"/>
      <c r="L41" s="420"/>
      <c r="M41" s="421"/>
      <c r="N41" s="422"/>
    </row>
    <row r="42" spans="1:14" ht="24" outlineLevel="1" thickBot="1">
      <c r="A42" s="444"/>
      <c r="B42" s="444"/>
      <c r="C42" s="444"/>
      <c r="D42" s="444"/>
      <c r="E42" s="445"/>
      <c r="F42" s="651" t="s">
        <v>353</v>
      </c>
      <c r="G42" s="652"/>
      <c r="H42" s="444"/>
      <c r="I42" s="456"/>
      <c r="L42" s="420"/>
      <c r="M42" s="421"/>
      <c r="N42" s="422"/>
    </row>
    <row r="43" spans="1:14" ht="24" outlineLevel="1" thickBot="1">
      <c r="A43" s="444"/>
      <c r="B43" s="444"/>
      <c r="C43" s="444"/>
      <c r="D43" s="444"/>
      <c r="E43" s="445"/>
      <c r="F43" s="458" t="s">
        <v>348</v>
      </c>
      <c r="G43" s="459">
        <v>0.1</v>
      </c>
      <c r="H43" s="444"/>
      <c r="I43" s="456"/>
      <c r="L43" s="420"/>
      <c r="M43" s="421"/>
      <c r="N43" s="422"/>
    </row>
    <row r="44" spans="1:14" ht="24" outlineLevel="1" thickBot="1">
      <c r="A44" s="444"/>
      <c r="B44" s="444"/>
      <c r="C44" s="444"/>
      <c r="D44" s="444"/>
      <c r="E44" s="445"/>
      <c r="F44" s="458" t="s">
        <v>349</v>
      </c>
      <c r="G44" s="459">
        <v>0.25</v>
      </c>
      <c r="H44" s="444"/>
      <c r="I44" s="456"/>
      <c r="L44" s="420"/>
      <c r="M44" s="421"/>
      <c r="N44" s="422"/>
    </row>
    <row r="45" spans="1:14" ht="24" outlineLevel="1" thickBot="1">
      <c r="A45" s="444"/>
      <c r="B45" s="444"/>
      <c r="C45" s="444"/>
      <c r="D45" s="444"/>
      <c r="E45" s="445"/>
      <c r="F45" s="458" t="s">
        <v>350</v>
      </c>
      <c r="G45" s="459">
        <v>0.3</v>
      </c>
      <c r="H45" s="444"/>
      <c r="I45" s="456"/>
      <c r="L45" s="420"/>
      <c r="M45" s="421"/>
      <c r="N45" s="422"/>
    </row>
    <row r="46" spans="1:14" ht="24" outlineLevel="1" thickBot="1">
      <c r="A46" s="444"/>
      <c r="B46" s="444"/>
      <c r="C46" s="444"/>
      <c r="D46" s="444"/>
      <c r="E46" s="445"/>
      <c r="F46" s="458" t="s">
        <v>351</v>
      </c>
      <c r="G46" s="459">
        <v>0.3</v>
      </c>
      <c r="H46" s="444"/>
      <c r="I46" s="456"/>
      <c r="L46" s="420"/>
      <c r="M46" s="421"/>
      <c r="N46" s="422"/>
    </row>
    <row r="47" spans="1:14" ht="24" outlineLevel="1" thickBot="1">
      <c r="A47" s="444"/>
      <c r="B47" s="444"/>
      <c r="C47" s="444"/>
      <c r="D47" s="444"/>
      <c r="E47" s="445"/>
      <c r="F47" s="458" t="s">
        <v>352</v>
      </c>
      <c r="G47" s="459">
        <v>0.3</v>
      </c>
      <c r="H47" s="444"/>
      <c r="I47" s="456"/>
      <c r="L47" s="420"/>
      <c r="M47" s="421"/>
      <c r="N47" s="422"/>
    </row>
    <row r="48" spans="1:14" ht="24" outlineLevel="1" thickBot="1">
      <c r="A48" s="444"/>
      <c r="B48" s="444"/>
      <c r="C48" s="444"/>
      <c r="D48" s="444"/>
      <c r="E48" s="445"/>
      <c r="F48" s="444"/>
      <c r="G48" s="444"/>
      <c r="H48" s="444"/>
      <c r="I48" s="456"/>
      <c r="L48" s="420"/>
      <c r="M48" s="421"/>
      <c r="N48" s="422"/>
    </row>
    <row r="49" spans="1:14" ht="24" outlineLevel="1" thickBot="1">
      <c r="A49" s="444"/>
      <c r="B49" s="444"/>
      <c r="C49" s="444"/>
      <c r="D49" s="444"/>
      <c r="E49" s="445"/>
      <c r="F49" s="651" t="s">
        <v>354</v>
      </c>
      <c r="G49" s="652"/>
      <c r="H49" s="444"/>
      <c r="I49" s="456"/>
      <c r="L49" s="420"/>
      <c r="M49" s="421"/>
      <c r="N49" s="422"/>
    </row>
    <row r="50" spans="1:14" ht="24" outlineLevel="1" thickBot="1">
      <c r="A50" s="444"/>
      <c r="B50" s="444"/>
      <c r="C50" s="444"/>
      <c r="D50" s="444"/>
      <c r="E50" s="445"/>
      <c r="F50" s="458" t="s">
        <v>348</v>
      </c>
      <c r="G50" s="459">
        <v>0.2</v>
      </c>
      <c r="H50" s="444"/>
      <c r="I50" s="456"/>
      <c r="L50" s="420"/>
      <c r="M50" s="421"/>
      <c r="N50" s="422"/>
    </row>
    <row r="51" spans="1:14" ht="24" outlineLevel="1" thickBot="1">
      <c r="A51" s="444"/>
      <c r="B51" s="444"/>
      <c r="C51" s="444"/>
      <c r="D51" s="444"/>
      <c r="E51" s="445"/>
      <c r="F51" s="458" t="s">
        <v>349</v>
      </c>
      <c r="G51" s="459">
        <v>0.3</v>
      </c>
      <c r="H51" s="444"/>
      <c r="I51" s="456"/>
      <c r="L51" s="420"/>
      <c r="M51" s="421"/>
      <c r="N51" s="422"/>
    </row>
    <row r="52" spans="1:14" ht="24" outlineLevel="1" thickBot="1">
      <c r="A52" s="444"/>
      <c r="B52" s="444"/>
      <c r="C52" s="444"/>
      <c r="D52" s="444"/>
      <c r="E52" s="445"/>
      <c r="F52" s="458" t="s">
        <v>350</v>
      </c>
      <c r="G52" s="459">
        <v>0.35</v>
      </c>
      <c r="H52" s="444"/>
      <c r="I52" s="456"/>
      <c r="L52" s="420"/>
      <c r="M52" s="421"/>
      <c r="N52" s="422"/>
    </row>
    <row r="53" spans="1:14" ht="24" outlineLevel="1" thickBot="1">
      <c r="A53" s="444"/>
      <c r="B53" s="444"/>
      <c r="C53" s="444"/>
      <c r="D53" s="444"/>
      <c r="E53" s="445"/>
      <c r="F53" s="458" t="s">
        <v>351</v>
      </c>
      <c r="G53" s="459">
        <v>0.35</v>
      </c>
      <c r="H53" s="444"/>
      <c r="I53" s="456"/>
      <c r="L53" s="420"/>
      <c r="M53" s="421"/>
      <c r="N53" s="422"/>
    </row>
    <row r="54" spans="1:14" ht="24" outlineLevel="1" thickBot="1">
      <c r="A54" s="444"/>
      <c r="B54" s="444"/>
      <c r="C54" s="444"/>
      <c r="D54" s="444"/>
      <c r="E54" s="445"/>
      <c r="F54" s="458" t="s">
        <v>352</v>
      </c>
      <c r="G54" s="459">
        <v>0.4</v>
      </c>
      <c r="H54" s="444"/>
      <c r="I54" s="456"/>
      <c r="L54" s="420"/>
      <c r="M54" s="421"/>
      <c r="N54" s="422"/>
    </row>
    <row r="55" spans="1:14" outlineLevel="1">
      <c r="A55" s="444"/>
      <c r="B55" s="444"/>
      <c r="C55" s="444"/>
      <c r="D55" s="444"/>
      <c r="E55" s="445"/>
      <c r="F55" s="444"/>
      <c r="G55" s="444"/>
      <c r="H55" s="444"/>
      <c r="I55" s="456"/>
      <c r="L55" s="420"/>
      <c r="M55" s="421"/>
      <c r="N55" s="422"/>
    </row>
    <row r="56" spans="1:14" ht="24" outlineLevel="1" thickBot="1">
      <c r="A56" s="444"/>
      <c r="B56" s="444"/>
      <c r="C56" s="444"/>
      <c r="D56" s="444"/>
      <c r="E56" s="445"/>
      <c r="F56" s="444"/>
      <c r="G56" s="444"/>
      <c r="H56" s="444"/>
      <c r="I56" s="456"/>
      <c r="L56" s="420"/>
      <c r="M56" s="421"/>
      <c r="N56" s="422"/>
    </row>
    <row r="57" spans="1:14" ht="24" outlineLevel="1" thickBot="1">
      <c r="A57" s="444"/>
      <c r="B57" s="444"/>
      <c r="C57" s="444"/>
      <c r="D57" s="444"/>
      <c r="E57" s="445"/>
      <c r="F57" s="646" t="s">
        <v>362</v>
      </c>
      <c r="G57" s="647"/>
      <c r="H57" s="444"/>
      <c r="I57" s="456"/>
      <c r="L57" s="420"/>
      <c r="M57" s="421"/>
      <c r="N57" s="422"/>
    </row>
    <row r="58" spans="1:14" ht="24" outlineLevel="1" thickBot="1">
      <c r="A58" s="444"/>
      <c r="B58" s="444"/>
      <c r="C58" s="444"/>
      <c r="D58" s="444"/>
      <c r="E58" s="445"/>
      <c r="F58" s="458" t="s">
        <v>358</v>
      </c>
      <c r="G58" s="460">
        <v>5.35</v>
      </c>
      <c r="H58" s="444"/>
      <c r="I58" s="456"/>
      <c r="L58" s="420"/>
      <c r="M58" s="421"/>
      <c r="N58" s="422"/>
    </row>
    <row r="59" spans="1:14" ht="24" outlineLevel="1" thickBot="1">
      <c r="A59" s="444"/>
      <c r="B59" s="444"/>
      <c r="C59" s="444"/>
      <c r="D59" s="444"/>
      <c r="E59" s="445"/>
      <c r="F59" s="458" t="s">
        <v>359</v>
      </c>
      <c r="G59" s="460">
        <v>6.58</v>
      </c>
      <c r="H59" s="444"/>
      <c r="I59" s="456"/>
      <c r="L59" s="420"/>
      <c r="M59" s="421"/>
      <c r="N59" s="422"/>
    </row>
    <row r="60" spans="1:14" ht="24" outlineLevel="1" thickBot="1">
      <c r="A60" s="444"/>
      <c r="B60" s="444"/>
      <c r="C60" s="444"/>
      <c r="D60" s="444"/>
      <c r="E60" s="445"/>
      <c r="F60" s="458" t="s">
        <v>360</v>
      </c>
      <c r="G60" s="460">
        <v>9.0399999999999991</v>
      </c>
      <c r="H60" s="444"/>
      <c r="I60" s="456"/>
      <c r="L60" s="420"/>
      <c r="M60" s="421"/>
      <c r="N60" s="422"/>
    </row>
    <row r="61" spans="1:14" ht="24" outlineLevel="1" thickBot="1">
      <c r="A61" s="444"/>
      <c r="B61" s="444"/>
      <c r="C61" s="444"/>
      <c r="D61" s="444"/>
      <c r="E61" s="445"/>
      <c r="F61" s="458" t="s">
        <v>361</v>
      </c>
      <c r="G61" s="461">
        <v>11.9</v>
      </c>
      <c r="H61" s="444"/>
      <c r="I61" s="456"/>
      <c r="L61" s="420"/>
      <c r="M61" s="421"/>
      <c r="N61" s="422"/>
    </row>
    <row r="62" spans="1:14" outlineLevel="1">
      <c r="A62" s="444"/>
      <c r="B62" s="444"/>
      <c r="C62" s="444"/>
      <c r="D62" s="444"/>
      <c r="E62" s="445"/>
      <c r="F62" s="444"/>
      <c r="G62" s="444"/>
      <c r="H62" s="444"/>
      <c r="I62" s="456"/>
      <c r="L62" s="420"/>
      <c r="M62" s="421"/>
      <c r="N62" s="422"/>
    </row>
    <row r="63" spans="1:14" ht="24" outlineLevel="1" thickBot="1">
      <c r="A63" s="444"/>
      <c r="B63" s="444"/>
      <c r="C63" s="444"/>
      <c r="D63" s="444"/>
      <c r="E63" s="462"/>
      <c r="F63" s="463"/>
      <c r="G63" s="463"/>
      <c r="H63" s="463"/>
      <c r="I63" s="461"/>
      <c r="L63" s="420"/>
      <c r="M63" s="421"/>
      <c r="N63" s="422"/>
    </row>
    <row r="64" spans="1:14" outlineLevel="1">
      <c r="A64" s="444"/>
      <c r="B64" s="444"/>
      <c r="C64" s="444"/>
      <c r="D64" s="444"/>
      <c r="E64" s="444"/>
      <c r="F64" s="444"/>
      <c r="G64" s="444"/>
      <c r="H64" s="444"/>
      <c r="I64" s="444"/>
      <c r="L64" s="420"/>
      <c r="M64" s="421"/>
      <c r="N64" s="422"/>
    </row>
    <row r="65" spans="1:14">
      <c r="A65" s="444"/>
      <c r="B65" s="444"/>
      <c r="C65" s="444"/>
      <c r="D65" s="444"/>
      <c r="E65" s="444"/>
      <c r="F65" s="444"/>
      <c r="G65" s="444"/>
      <c r="H65" s="444"/>
      <c r="I65" s="444"/>
      <c r="L65" s="420"/>
      <c r="M65" s="421"/>
      <c r="N65" s="422"/>
    </row>
    <row r="66" spans="1:14">
      <c r="A66" s="444"/>
      <c r="B66" s="444"/>
      <c r="C66" s="444"/>
      <c r="D66" s="444"/>
      <c r="E66" s="444"/>
      <c r="F66" s="444"/>
      <c r="G66" s="444"/>
      <c r="H66" s="444"/>
      <c r="I66" s="444"/>
      <c r="L66" s="420"/>
      <c r="M66" s="421"/>
      <c r="N66" s="422"/>
    </row>
    <row r="67" spans="1:14">
      <c r="A67" s="444"/>
      <c r="B67" s="444"/>
      <c r="C67" s="444"/>
      <c r="D67" s="444"/>
      <c r="E67" s="444"/>
      <c r="F67" s="444"/>
      <c r="G67" s="444"/>
      <c r="H67" s="444"/>
      <c r="I67" s="444"/>
      <c r="L67" s="420"/>
      <c r="M67" s="421"/>
      <c r="N67" s="422"/>
    </row>
    <row r="68" spans="1:14">
      <c r="A68" s="444"/>
      <c r="B68" s="444"/>
      <c r="C68" s="444"/>
      <c r="D68" s="444"/>
      <c r="E68" s="444"/>
      <c r="F68" s="444"/>
      <c r="G68" s="444"/>
      <c r="H68" s="444"/>
      <c r="I68" s="444"/>
      <c r="L68" s="420"/>
      <c r="M68" s="421"/>
      <c r="N68" s="422"/>
    </row>
    <row r="69" spans="1:14">
      <c r="A69" s="444"/>
      <c r="B69" s="444"/>
      <c r="C69" s="444"/>
      <c r="D69" s="444"/>
      <c r="E69" s="444"/>
      <c r="F69" s="444"/>
      <c r="G69" s="444"/>
      <c r="H69" s="444"/>
      <c r="I69" s="444"/>
      <c r="L69" s="420"/>
      <c r="M69" s="421"/>
      <c r="N69" s="422"/>
    </row>
    <row r="70" spans="1:14">
      <c r="A70" s="444"/>
      <c r="B70" s="444"/>
      <c r="C70" s="444"/>
      <c r="D70" s="444"/>
      <c r="E70" s="444"/>
      <c r="F70" s="444"/>
      <c r="G70" s="444"/>
      <c r="H70" s="444"/>
      <c r="I70" s="444"/>
      <c r="L70" s="420"/>
      <c r="M70" s="421"/>
      <c r="N70" s="422"/>
    </row>
    <row r="71" spans="1:14">
      <c r="A71" s="444"/>
      <c r="B71" s="444"/>
      <c r="C71" s="444"/>
      <c r="D71" s="444"/>
      <c r="E71" s="444"/>
      <c r="F71" s="444"/>
      <c r="G71" s="444"/>
      <c r="H71" s="444"/>
      <c r="I71" s="444"/>
      <c r="L71" s="420"/>
      <c r="M71" s="421"/>
      <c r="N71" s="422"/>
    </row>
    <row r="72" spans="1:14">
      <c r="A72" s="444"/>
      <c r="B72" s="444"/>
      <c r="C72" s="444"/>
      <c r="D72" s="444"/>
      <c r="E72" s="444"/>
      <c r="F72" s="444"/>
      <c r="G72" s="444"/>
      <c r="H72" s="444"/>
      <c r="I72" s="444"/>
      <c r="L72" s="420"/>
      <c r="M72" s="421"/>
      <c r="N72" s="422"/>
    </row>
    <row r="73" spans="1:14">
      <c r="A73" s="444"/>
      <c r="B73" s="444"/>
      <c r="C73" s="444"/>
      <c r="D73" s="444"/>
      <c r="E73" s="444"/>
      <c r="F73" s="444"/>
      <c r="G73" s="444"/>
      <c r="H73" s="444"/>
      <c r="I73" s="444"/>
      <c r="L73" s="420"/>
      <c r="M73" s="421"/>
      <c r="N73" s="422"/>
    </row>
    <row r="74" spans="1:14">
      <c r="A74" s="444"/>
      <c r="B74" s="444"/>
      <c r="C74" s="444"/>
      <c r="D74" s="444"/>
      <c r="E74" s="444"/>
      <c r="F74" s="444"/>
      <c r="G74" s="444"/>
      <c r="H74" s="444"/>
      <c r="I74" s="444"/>
      <c r="L74" s="420"/>
      <c r="M74" s="421"/>
      <c r="N74" s="422"/>
    </row>
    <row r="75" spans="1:14">
      <c r="A75" s="444"/>
      <c r="B75" s="444"/>
      <c r="C75" s="444"/>
      <c r="D75" s="444"/>
      <c r="E75" s="444"/>
      <c r="F75" s="444"/>
      <c r="G75" s="444"/>
      <c r="H75" s="444"/>
      <c r="I75" s="444"/>
      <c r="L75" s="420"/>
      <c r="M75" s="421"/>
      <c r="N75" s="422"/>
    </row>
    <row r="76" spans="1:14">
      <c r="A76" s="444"/>
      <c r="B76" s="444"/>
      <c r="C76" s="444"/>
      <c r="D76" s="444"/>
      <c r="E76" s="444"/>
      <c r="F76" s="444"/>
      <c r="G76" s="444"/>
      <c r="H76" s="444"/>
      <c r="I76" s="444"/>
      <c r="L76" s="420"/>
      <c r="M76" s="421"/>
      <c r="N76" s="422"/>
    </row>
    <row r="77" spans="1:14">
      <c r="A77" s="444"/>
      <c r="B77" s="444"/>
      <c r="C77" s="444"/>
      <c r="D77" s="444"/>
      <c r="E77" s="444"/>
      <c r="F77" s="444"/>
      <c r="G77" s="444"/>
      <c r="H77" s="444"/>
      <c r="I77" s="444"/>
      <c r="L77" s="420"/>
      <c r="M77" s="421"/>
      <c r="N77" s="422"/>
    </row>
    <row r="78" spans="1:14">
      <c r="A78" s="444"/>
      <c r="B78" s="444"/>
      <c r="C78" s="444"/>
      <c r="D78" s="444"/>
      <c r="E78" s="444"/>
      <c r="F78" s="444"/>
      <c r="G78" s="444"/>
      <c r="H78" s="444"/>
      <c r="I78" s="444"/>
      <c r="L78" s="420"/>
      <c r="M78" s="421"/>
      <c r="N78" s="422"/>
    </row>
    <row r="79" spans="1:14">
      <c r="A79" s="444"/>
      <c r="B79" s="444"/>
      <c r="C79" s="444"/>
      <c r="D79" s="444"/>
      <c r="E79" s="444"/>
      <c r="F79" s="444"/>
      <c r="G79" s="444"/>
      <c r="H79" s="444"/>
      <c r="I79" s="444"/>
      <c r="L79" s="420"/>
      <c r="M79" s="421"/>
      <c r="N79" s="422"/>
    </row>
    <row r="80" spans="1:14">
      <c r="A80" s="444"/>
      <c r="B80" s="444"/>
      <c r="C80" s="444"/>
      <c r="D80" s="444"/>
      <c r="E80" s="444"/>
      <c r="F80" s="444"/>
      <c r="G80" s="444"/>
      <c r="H80" s="444"/>
      <c r="I80" s="444"/>
      <c r="L80" s="420"/>
      <c r="M80" s="421"/>
      <c r="N80" s="422"/>
    </row>
    <row r="81" spans="1:14">
      <c r="A81" s="444"/>
      <c r="B81" s="444"/>
      <c r="C81" s="444"/>
      <c r="D81" s="444"/>
      <c r="E81" s="444"/>
      <c r="F81" s="444"/>
      <c r="G81" s="444"/>
      <c r="H81" s="444"/>
      <c r="I81" s="444"/>
      <c r="L81" s="420"/>
      <c r="M81" s="421"/>
      <c r="N81" s="422"/>
    </row>
    <row r="82" spans="1:14">
      <c r="A82" s="444"/>
      <c r="B82" s="444"/>
      <c r="C82" s="444"/>
      <c r="D82" s="444"/>
      <c r="E82" s="444"/>
      <c r="F82" s="444"/>
      <c r="G82" s="444"/>
      <c r="H82" s="444"/>
      <c r="I82" s="444"/>
      <c r="L82" s="420"/>
      <c r="M82" s="421"/>
      <c r="N82" s="422"/>
    </row>
    <row r="83" spans="1:14">
      <c r="A83" s="444"/>
      <c r="B83" s="444"/>
      <c r="C83" s="444"/>
      <c r="D83" s="444"/>
      <c r="E83" s="444"/>
      <c r="F83" s="444"/>
      <c r="G83" s="444"/>
      <c r="H83" s="444"/>
      <c r="I83" s="444"/>
      <c r="L83" s="420"/>
      <c r="M83" s="421"/>
      <c r="N83" s="422"/>
    </row>
    <row r="84" spans="1:14">
      <c r="A84" s="444"/>
      <c r="B84" s="444"/>
      <c r="C84" s="444"/>
      <c r="D84" s="444"/>
      <c r="E84" s="444"/>
      <c r="F84" s="444"/>
      <c r="G84" s="444"/>
      <c r="H84" s="444"/>
      <c r="I84" s="444"/>
      <c r="L84" s="420"/>
      <c r="M84" s="421"/>
      <c r="N84" s="422"/>
    </row>
    <row r="85" spans="1:14">
      <c r="A85" s="444"/>
      <c r="B85" s="444"/>
      <c r="C85" s="444"/>
      <c r="D85" s="444"/>
      <c r="E85" s="444"/>
      <c r="F85" s="444"/>
      <c r="G85" s="444"/>
      <c r="H85" s="444"/>
      <c r="I85" s="444"/>
      <c r="L85" s="420"/>
      <c r="M85" s="421"/>
      <c r="N85" s="422"/>
    </row>
    <row r="86" spans="1:14">
      <c r="A86" s="444"/>
      <c r="B86" s="444"/>
      <c r="C86" s="444"/>
      <c r="D86" s="444"/>
      <c r="E86" s="444"/>
      <c r="F86" s="444"/>
      <c r="G86" s="444"/>
      <c r="H86" s="444"/>
      <c r="I86" s="444"/>
      <c r="L86" s="420"/>
      <c r="M86" s="421"/>
      <c r="N86" s="422"/>
    </row>
    <row r="87" spans="1:14">
      <c r="A87" s="444"/>
      <c r="B87" s="444"/>
      <c r="C87" s="444"/>
      <c r="D87" s="444"/>
      <c r="E87" s="444"/>
      <c r="F87" s="444"/>
      <c r="G87" s="444"/>
      <c r="H87" s="444"/>
      <c r="I87" s="444"/>
      <c r="L87" s="420"/>
      <c r="M87" s="421"/>
      <c r="N87" s="422"/>
    </row>
    <row r="88" spans="1:14">
      <c r="A88" s="444"/>
      <c r="B88" s="444"/>
      <c r="C88" s="444"/>
      <c r="D88" s="444"/>
      <c r="E88" s="444"/>
      <c r="F88" s="444"/>
      <c r="G88" s="444"/>
      <c r="H88" s="444"/>
      <c r="I88" s="444"/>
      <c r="L88" s="420"/>
      <c r="M88" s="421"/>
      <c r="N88" s="422"/>
    </row>
    <row r="89" spans="1:14">
      <c r="A89" s="444"/>
      <c r="B89" s="444"/>
      <c r="C89" s="444"/>
      <c r="D89" s="444"/>
      <c r="E89" s="444"/>
      <c r="F89" s="444"/>
      <c r="G89" s="444"/>
      <c r="H89" s="444"/>
      <c r="I89" s="444"/>
      <c r="L89" s="420"/>
      <c r="M89" s="421"/>
      <c r="N89" s="422"/>
    </row>
    <row r="90" spans="1:14">
      <c r="A90" s="444"/>
      <c r="B90" s="444"/>
      <c r="C90" s="444"/>
      <c r="D90" s="444"/>
      <c r="E90" s="444"/>
      <c r="F90" s="444"/>
      <c r="G90" s="444"/>
      <c r="H90" s="444"/>
      <c r="I90" s="444"/>
      <c r="L90" s="420"/>
      <c r="M90" s="421"/>
      <c r="N90" s="422"/>
    </row>
    <row r="91" spans="1:14">
      <c r="A91" s="444"/>
      <c r="B91" s="444"/>
      <c r="C91" s="444"/>
      <c r="D91" s="444"/>
      <c r="E91" s="444"/>
      <c r="F91" s="444"/>
      <c r="G91" s="444"/>
      <c r="H91" s="444"/>
      <c r="I91" s="444"/>
      <c r="L91" s="420"/>
      <c r="M91" s="421"/>
      <c r="N91" s="422"/>
    </row>
    <row r="92" spans="1:14">
      <c r="A92" s="444"/>
      <c r="B92" s="444"/>
      <c r="C92" s="444"/>
      <c r="D92" s="444"/>
      <c r="E92" s="444"/>
      <c r="F92" s="444"/>
      <c r="G92" s="444"/>
      <c r="H92" s="444"/>
      <c r="I92" s="444"/>
      <c r="L92" s="420"/>
      <c r="M92" s="421"/>
      <c r="N92" s="422"/>
    </row>
    <row r="93" spans="1:14">
      <c r="A93" s="444"/>
      <c r="B93" s="444"/>
      <c r="C93" s="444"/>
      <c r="D93" s="444"/>
      <c r="E93" s="444"/>
      <c r="F93" s="444"/>
      <c r="G93" s="444"/>
      <c r="H93" s="444"/>
      <c r="I93" s="444"/>
      <c r="L93" s="420"/>
      <c r="M93" s="421"/>
      <c r="N93" s="422"/>
    </row>
    <row r="94" spans="1:14">
      <c r="A94" s="444"/>
      <c r="B94" s="444"/>
      <c r="C94" s="444"/>
      <c r="D94" s="444"/>
      <c r="E94" s="444"/>
      <c r="F94" s="444"/>
      <c r="G94" s="444"/>
      <c r="H94" s="444"/>
      <c r="I94" s="444"/>
      <c r="L94" s="420"/>
      <c r="M94" s="421"/>
      <c r="N94" s="422"/>
    </row>
    <row r="95" spans="1:14">
      <c r="A95" s="444"/>
      <c r="B95" s="444"/>
      <c r="C95" s="444"/>
      <c r="D95" s="444"/>
      <c r="E95" s="444"/>
      <c r="F95" s="444"/>
      <c r="G95" s="444"/>
      <c r="H95" s="444"/>
      <c r="I95" s="444"/>
      <c r="L95" s="420"/>
      <c r="M95" s="421"/>
      <c r="N95" s="422"/>
    </row>
    <row r="96" spans="1:14">
      <c r="A96" s="444"/>
      <c r="B96" s="444"/>
      <c r="C96" s="444"/>
      <c r="D96" s="444"/>
      <c r="E96" s="444"/>
      <c r="F96" s="444"/>
      <c r="G96" s="444"/>
      <c r="H96" s="444"/>
      <c r="I96" s="444"/>
      <c r="L96" s="420"/>
      <c r="M96" s="421"/>
      <c r="N96" s="422"/>
    </row>
    <row r="97" spans="1:14">
      <c r="A97" s="444"/>
      <c r="B97" s="444"/>
      <c r="C97" s="444"/>
      <c r="D97" s="444"/>
      <c r="E97" s="444"/>
      <c r="F97" s="444"/>
      <c r="G97" s="444"/>
      <c r="H97" s="444"/>
      <c r="I97" s="444"/>
      <c r="L97" s="420"/>
      <c r="M97" s="421"/>
      <c r="N97" s="422"/>
    </row>
    <row r="98" spans="1:14">
      <c r="A98" s="444"/>
      <c r="B98" s="444"/>
      <c r="C98" s="444"/>
      <c r="D98" s="444"/>
      <c r="E98" s="444"/>
      <c r="F98" s="444"/>
      <c r="G98" s="444"/>
      <c r="H98" s="444"/>
      <c r="I98" s="444"/>
      <c r="L98" s="420"/>
      <c r="M98" s="421"/>
      <c r="N98" s="422"/>
    </row>
    <row r="99" spans="1:14">
      <c r="A99" s="444"/>
      <c r="B99" s="444"/>
      <c r="C99" s="444"/>
      <c r="D99" s="444"/>
      <c r="E99" s="444"/>
      <c r="F99" s="444"/>
      <c r="G99" s="444"/>
      <c r="H99" s="444"/>
      <c r="I99" s="444"/>
      <c r="L99" s="420"/>
      <c r="M99" s="421"/>
      <c r="N99" s="422"/>
    </row>
    <row r="100" spans="1:14">
      <c r="A100" s="444"/>
      <c r="B100" s="444"/>
      <c r="C100" s="444"/>
      <c r="D100" s="444"/>
      <c r="E100" s="444"/>
      <c r="F100" s="444"/>
      <c r="G100" s="444"/>
      <c r="H100" s="444"/>
      <c r="I100" s="444"/>
      <c r="L100" s="420"/>
      <c r="M100" s="421"/>
      <c r="N100" s="422"/>
    </row>
    <row r="101" spans="1:14">
      <c r="A101" s="444"/>
      <c r="B101" s="444"/>
      <c r="C101" s="444"/>
      <c r="D101" s="444"/>
      <c r="E101" s="444"/>
      <c r="F101" s="444"/>
      <c r="G101" s="444"/>
      <c r="H101" s="444"/>
      <c r="I101" s="444"/>
      <c r="L101" s="420"/>
      <c r="M101" s="421"/>
      <c r="N101" s="422"/>
    </row>
    <row r="102" spans="1:14">
      <c r="A102" s="444"/>
      <c r="B102" s="444"/>
      <c r="C102" s="444"/>
      <c r="D102" s="444"/>
      <c r="E102" s="444"/>
      <c r="F102" s="444"/>
      <c r="G102" s="444"/>
      <c r="H102" s="444"/>
      <c r="I102" s="444"/>
      <c r="L102" s="420"/>
      <c r="M102" s="421"/>
      <c r="N102" s="422"/>
    </row>
    <row r="103" spans="1:14">
      <c r="A103" s="444"/>
      <c r="B103" s="444"/>
      <c r="C103" s="444"/>
      <c r="D103" s="444"/>
      <c r="E103" s="444"/>
      <c r="F103" s="444"/>
      <c r="G103" s="444"/>
      <c r="H103" s="444"/>
      <c r="I103" s="444"/>
      <c r="L103" s="420"/>
      <c r="M103" s="421"/>
      <c r="N103" s="422"/>
    </row>
    <row r="104" spans="1:14">
      <c r="A104" s="444"/>
      <c r="B104" s="444"/>
      <c r="C104" s="444"/>
      <c r="D104" s="444"/>
      <c r="E104" s="444"/>
      <c r="F104" s="444"/>
      <c r="G104" s="444"/>
      <c r="H104" s="444"/>
      <c r="I104" s="444"/>
      <c r="L104" s="420"/>
      <c r="M104" s="421"/>
      <c r="N104" s="422"/>
    </row>
    <row r="105" spans="1:14">
      <c r="A105" s="444"/>
      <c r="B105" s="444"/>
      <c r="C105" s="444"/>
      <c r="D105" s="444"/>
      <c r="E105" s="444"/>
      <c r="F105" s="444"/>
      <c r="G105" s="444"/>
      <c r="H105" s="444"/>
      <c r="I105" s="444"/>
      <c r="L105" s="420"/>
      <c r="M105" s="421"/>
      <c r="N105" s="422"/>
    </row>
    <row r="106" spans="1:14">
      <c r="A106" s="444"/>
      <c r="B106" s="444"/>
      <c r="C106" s="444"/>
      <c r="D106" s="444"/>
      <c r="E106" s="444"/>
      <c r="F106" s="444"/>
      <c r="G106" s="444"/>
      <c r="H106" s="444"/>
      <c r="I106" s="444"/>
      <c r="L106" s="420"/>
      <c r="M106" s="421"/>
      <c r="N106" s="422"/>
    </row>
    <row r="107" spans="1:14">
      <c r="A107" s="444"/>
      <c r="B107" s="444"/>
      <c r="C107" s="444"/>
      <c r="D107" s="444"/>
      <c r="E107" s="444"/>
      <c r="F107" s="444"/>
      <c r="G107" s="444"/>
      <c r="H107" s="444"/>
      <c r="I107" s="444"/>
      <c r="L107" s="420"/>
      <c r="M107" s="421"/>
      <c r="N107" s="422"/>
    </row>
    <row r="108" spans="1:14">
      <c r="A108" s="444"/>
      <c r="B108" s="444"/>
      <c r="C108" s="444"/>
      <c r="D108" s="444"/>
      <c r="E108" s="444"/>
      <c r="F108" s="444"/>
      <c r="G108" s="444"/>
      <c r="H108" s="444"/>
      <c r="I108" s="444"/>
      <c r="L108" s="420"/>
      <c r="M108" s="421"/>
      <c r="N108" s="422"/>
    </row>
    <row r="109" spans="1:14">
      <c r="A109" s="444"/>
      <c r="B109" s="444"/>
      <c r="C109" s="444"/>
      <c r="D109" s="444"/>
      <c r="E109" s="444"/>
      <c r="F109" s="444"/>
      <c r="G109" s="444"/>
      <c r="H109" s="444"/>
      <c r="I109" s="444"/>
      <c r="L109" s="420"/>
      <c r="M109" s="421"/>
      <c r="N109" s="422"/>
    </row>
    <row r="110" spans="1:14">
      <c r="A110" s="444"/>
      <c r="B110" s="444"/>
      <c r="C110" s="444"/>
      <c r="D110" s="444"/>
      <c r="E110" s="444"/>
      <c r="F110" s="444"/>
      <c r="G110" s="444"/>
      <c r="H110" s="444"/>
      <c r="I110" s="444"/>
      <c r="L110" s="420"/>
      <c r="M110" s="421"/>
      <c r="N110" s="422"/>
    </row>
    <row r="111" spans="1:14">
      <c r="A111" s="444"/>
      <c r="B111" s="444"/>
      <c r="C111" s="444"/>
      <c r="D111" s="444"/>
      <c r="E111" s="444"/>
      <c r="F111" s="444"/>
      <c r="G111" s="444"/>
      <c r="H111" s="444"/>
      <c r="I111" s="444"/>
      <c r="L111" s="420"/>
      <c r="M111" s="421"/>
      <c r="N111" s="422"/>
    </row>
    <row r="112" spans="1:14">
      <c r="A112" s="444"/>
      <c r="B112" s="444"/>
      <c r="C112" s="444"/>
      <c r="D112" s="444"/>
      <c r="E112" s="444"/>
      <c r="F112" s="444"/>
      <c r="G112" s="444"/>
      <c r="H112" s="444"/>
      <c r="I112" s="444"/>
      <c r="L112" s="420"/>
      <c r="M112" s="421"/>
      <c r="N112" s="422"/>
    </row>
    <row r="113" spans="1:14">
      <c r="A113" s="444"/>
      <c r="B113" s="444"/>
      <c r="C113" s="444"/>
      <c r="D113" s="444"/>
      <c r="E113" s="444"/>
      <c r="F113" s="444"/>
      <c r="G113" s="444"/>
      <c r="H113" s="444"/>
      <c r="I113" s="444"/>
      <c r="L113" s="420"/>
      <c r="M113" s="421"/>
      <c r="N113" s="422"/>
    </row>
    <row r="114" spans="1:14">
      <c r="A114" s="444"/>
      <c r="B114" s="444"/>
      <c r="C114" s="444"/>
      <c r="D114" s="444"/>
      <c r="E114" s="444"/>
      <c r="F114" s="444"/>
      <c r="G114" s="444"/>
      <c r="H114" s="444"/>
      <c r="I114" s="444"/>
      <c r="L114" s="420"/>
      <c r="M114" s="421"/>
      <c r="N114" s="422"/>
    </row>
    <row r="115" spans="1:14">
      <c r="A115" s="444"/>
      <c r="B115" s="444"/>
      <c r="C115" s="444"/>
      <c r="D115" s="444"/>
      <c r="E115" s="444"/>
      <c r="F115" s="444"/>
      <c r="G115" s="444"/>
      <c r="H115" s="444"/>
      <c r="I115" s="444"/>
      <c r="L115" s="420"/>
      <c r="M115" s="421"/>
      <c r="N115" s="422"/>
    </row>
    <row r="116" spans="1:14">
      <c r="A116" s="444"/>
      <c r="B116" s="444"/>
      <c r="C116" s="444"/>
      <c r="D116" s="444"/>
      <c r="E116" s="444"/>
      <c r="F116" s="444"/>
      <c r="G116" s="444"/>
      <c r="H116" s="444"/>
      <c r="I116" s="444"/>
      <c r="L116" s="420"/>
      <c r="M116" s="421"/>
      <c r="N116" s="422"/>
    </row>
    <row r="117" spans="1:14">
      <c r="A117" s="444"/>
      <c r="B117" s="444"/>
      <c r="C117" s="444"/>
      <c r="D117" s="444"/>
      <c r="E117" s="444"/>
      <c r="F117" s="444"/>
      <c r="G117" s="444"/>
      <c r="H117" s="444"/>
      <c r="I117" s="444"/>
      <c r="L117" s="420"/>
      <c r="M117" s="421"/>
      <c r="N117" s="422"/>
    </row>
    <row r="118" spans="1:14">
      <c r="A118" s="444"/>
      <c r="B118" s="444"/>
      <c r="C118" s="444"/>
      <c r="D118" s="444"/>
      <c r="E118" s="444"/>
      <c r="F118" s="444"/>
      <c r="G118" s="444"/>
      <c r="H118" s="444"/>
      <c r="I118" s="444"/>
      <c r="L118" s="420"/>
      <c r="M118" s="421"/>
      <c r="N118" s="422"/>
    </row>
    <row r="119" spans="1:14">
      <c r="A119" s="444"/>
      <c r="B119" s="444"/>
      <c r="C119" s="444"/>
      <c r="D119" s="444"/>
      <c r="E119" s="444"/>
      <c r="F119" s="444"/>
      <c r="G119" s="444"/>
      <c r="H119" s="444"/>
      <c r="I119" s="444"/>
      <c r="L119" s="420"/>
      <c r="M119" s="421"/>
      <c r="N119" s="422"/>
    </row>
    <row r="120" spans="1:14">
      <c r="A120" s="444"/>
      <c r="B120" s="444"/>
      <c r="C120" s="444"/>
      <c r="D120" s="444"/>
      <c r="E120" s="444"/>
      <c r="F120" s="444"/>
      <c r="G120" s="444"/>
      <c r="H120" s="444"/>
      <c r="I120" s="444"/>
      <c r="L120" s="420"/>
      <c r="M120" s="421"/>
      <c r="N120" s="422"/>
    </row>
    <row r="121" spans="1:14">
      <c r="A121" s="444"/>
      <c r="B121" s="444"/>
      <c r="C121" s="444"/>
      <c r="D121" s="444"/>
      <c r="E121" s="444"/>
      <c r="F121" s="444"/>
      <c r="G121" s="444"/>
      <c r="H121" s="444"/>
      <c r="I121" s="444"/>
      <c r="L121" s="420"/>
      <c r="M121" s="421"/>
      <c r="N121" s="422"/>
    </row>
    <row r="122" spans="1:14">
      <c r="A122" s="444"/>
      <c r="B122" s="444"/>
      <c r="C122" s="444"/>
      <c r="D122" s="444"/>
      <c r="E122" s="444"/>
      <c r="F122" s="444"/>
      <c r="G122" s="444"/>
      <c r="H122" s="444"/>
      <c r="I122" s="444"/>
      <c r="L122" s="420"/>
      <c r="M122" s="421"/>
      <c r="N122" s="422"/>
    </row>
    <row r="123" spans="1:14">
      <c r="A123" s="444"/>
      <c r="B123" s="444"/>
      <c r="C123" s="444"/>
      <c r="D123" s="444"/>
      <c r="E123" s="444"/>
      <c r="F123" s="444"/>
      <c r="G123" s="444"/>
      <c r="H123" s="444"/>
      <c r="I123" s="444"/>
      <c r="L123" s="420"/>
      <c r="M123" s="421"/>
      <c r="N123" s="422"/>
    </row>
    <row r="124" spans="1:14">
      <c r="A124" s="444"/>
      <c r="B124" s="444"/>
      <c r="C124" s="444"/>
      <c r="D124" s="444"/>
      <c r="E124" s="444"/>
      <c r="F124" s="444"/>
      <c r="G124" s="444"/>
      <c r="H124" s="444"/>
      <c r="I124" s="444"/>
      <c r="L124" s="420"/>
      <c r="M124" s="421"/>
      <c r="N124" s="422"/>
    </row>
    <row r="125" spans="1:14">
      <c r="A125" s="444"/>
      <c r="B125" s="444"/>
      <c r="C125" s="444"/>
      <c r="D125" s="444"/>
      <c r="E125" s="444"/>
      <c r="F125" s="444"/>
      <c r="G125" s="444"/>
      <c r="H125" s="444"/>
      <c r="I125" s="444"/>
      <c r="L125" s="420"/>
      <c r="M125" s="421"/>
      <c r="N125" s="422"/>
    </row>
    <row r="126" spans="1:14">
      <c r="A126" s="444"/>
      <c r="B126" s="444"/>
      <c r="C126" s="444"/>
      <c r="D126" s="444"/>
      <c r="E126" s="444"/>
      <c r="F126" s="444"/>
      <c r="G126" s="444"/>
      <c r="H126" s="444"/>
      <c r="I126" s="444"/>
      <c r="L126" s="420"/>
      <c r="M126" s="421"/>
      <c r="N126" s="422"/>
    </row>
    <row r="127" spans="1:14">
      <c r="A127" s="444"/>
      <c r="B127" s="444"/>
      <c r="C127" s="444"/>
      <c r="D127" s="444"/>
      <c r="E127" s="444"/>
      <c r="F127" s="444"/>
      <c r="G127" s="444"/>
      <c r="H127" s="444"/>
      <c r="I127" s="444"/>
      <c r="L127" s="420"/>
      <c r="M127" s="421"/>
      <c r="N127" s="422"/>
    </row>
    <row r="128" spans="1:14">
      <c r="A128" s="444"/>
      <c r="B128" s="444"/>
      <c r="C128" s="444"/>
      <c r="D128" s="444"/>
      <c r="E128" s="444"/>
      <c r="F128" s="444"/>
      <c r="G128" s="444"/>
      <c r="H128" s="444"/>
      <c r="I128" s="444"/>
      <c r="L128" s="420"/>
      <c r="M128" s="421"/>
      <c r="N128" s="422"/>
    </row>
    <row r="129" spans="1:14">
      <c r="A129" s="444"/>
      <c r="B129" s="444"/>
      <c r="C129" s="444"/>
      <c r="D129" s="444"/>
      <c r="E129" s="444"/>
      <c r="F129" s="444"/>
      <c r="G129" s="444"/>
      <c r="H129" s="444"/>
      <c r="I129" s="444"/>
      <c r="L129" s="420"/>
      <c r="M129" s="421"/>
      <c r="N129" s="422"/>
    </row>
    <row r="130" spans="1:14">
      <c r="A130" s="444"/>
      <c r="B130" s="444"/>
      <c r="C130" s="444"/>
      <c r="D130" s="444"/>
      <c r="E130" s="444"/>
      <c r="F130" s="444"/>
      <c r="G130" s="444"/>
      <c r="H130" s="444"/>
      <c r="I130" s="444"/>
      <c r="L130" s="420"/>
      <c r="M130" s="421"/>
      <c r="N130" s="422"/>
    </row>
    <row r="131" spans="1:14">
      <c r="A131" s="444"/>
      <c r="B131" s="444"/>
      <c r="C131" s="444"/>
      <c r="D131" s="444"/>
      <c r="E131" s="444"/>
      <c r="F131" s="444"/>
      <c r="G131" s="444"/>
      <c r="H131" s="444"/>
      <c r="I131" s="444"/>
      <c r="L131" s="420"/>
      <c r="M131" s="421"/>
      <c r="N131" s="422"/>
    </row>
    <row r="132" spans="1:14">
      <c r="A132" s="444"/>
      <c r="B132" s="444"/>
      <c r="C132" s="444"/>
      <c r="D132" s="444"/>
      <c r="E132" s="444"/>
      <c r="F132" s="444"/>
      <c r="G132" s="444"/>
      <c r="H132" s="444"/>
      <c r="I132" s="444"/>
      <c r="L132" s="420"/>
      <c r="M132" s="421"/>
      <c r="N132" s="422"/>
    </row>
    <row r="133" spans="1:14">
      <c r="A133" s="444"/>
      <c r="B133" s="444"/>
      <c r="C133" s="444"/>
      <c r="D133" s="444"/>
      <c r="E133" s="444"/>
      <c r="F133" s="444"/>
      <c r="G133" s="444"/>
      <c r="H133" s="444"/>
      <c r="I133" s="444"/>
      <c r="L133" s="420"/>
      <c r="M133" s="421"/>
      <c r="N133" s="422"/>
    </row>
    <row r="134" spans="1:14">
      <c r="A134" s="444"/>
      <c r="B134" s="444"/>
      <c r="C134" s="444"/>
      <c r="D134" s="444"/>
      <c r="E134" s="444"/>
      <c r="F134" s="444"/>
      <c r="G134" s="444"/>
      <c r="H134" s="444"/>
      <c r="I134" s="444"/>
      <c r="L134" s="420"/>
      <c r="M134" s="421"/>
      <c r="N134" s="422"/>
    </row>
    <row r="135" spans="1:14">
      <c r="A135" s="444"/>
      <c r="B135" s="444"/>
      <c r="C135" s="444"/>
      <c r="D135" s="444"/>
      <c r="E135" s="444"/>
      <c r="F135" s="444"/>
      <c r="G135" s="444"/>
      <c r="H135" s="444"/>
      <c r="I135" s="444"/>
      <c r="L135" s="420"/>
      <c r="M135" s="421"/>
      <c r="N135" s="422"/>
    </row>
    <row r="136" spans="1:14">
      <c r="A136" s="444"/>
      <c r="B136" s="444"/>
      <c r="C136" s="444"/>
      <c r="D136" s="444"/>
      <c r="E136" s="444"/>
      <c r="F136" s="444"/>
      <c r="G136" s="444"/>
      <c r="H136" s="444"/>
      <c r="I136" s="444"/>
      <c r="L136" s="420"/>
      <c r="M136" s="421"/>
      <c r="N136" s="422"/>
    </row>
    <row r="137" spans="1:14">
      <c r="A137" s="444"/>
      <c r="B137" s="444"/>
      <c r="C137" s="444"/>
      <c r="D137" s="444"/>
      <c r="E137" s="444"/>
      <c r="F137" s="444"/>
      <c r="G137" s="444"/>
      <c r="H137" s="444"/>
      <c r="I137" s="444"/>
      <c r="L137" s="420"/>
      <c r="M137" s="421"/>
      <c r="N137" s="422"/>
    </row>
    <row r="138" spans="1:14">
      <c r="A138" s="444"/>
      <c r="B138" s="444"/>
      <c r="C138" s="444"/>
      <c r="D138" s="444"/>
      <c r="E138" s="444"/>
      <c r="F138" s="444"/>
      <c r="G138" s="444"/>
      <c r="H138" s="444"/>
      <c r="I138" s="444"/>
      <c r="L138" s="420"/>
      <c r="M138" s="421"/>
      <c r="N138" s="422"/>
    </row>
    <row r="139" spans="1:14">
      <c r="A139" s="444"/>
      <c r="B139" s="444"/>
      <c r="C139" s="444"/>
      <c r="D139" s="444"/>
      <c r="E139" s="444"/>
      <c r="F139" s="444"/>
      <c r="G139" s="444"/>
      <c r="H139" s="444"/>
      <c r="I139" s="444"/>
      <c r="L139" s="420"/>
      <c r="M139" s="421"/>
      <c r="N139" s="422"/>
    </row>
    <row r="140" spans="1:14">
      <c r="L140" s="420"/>
      <c r="M140" s="421"/>
      <c r="N140" s="422"/>
    </row>
    <row r="141" spans="1:14">
      <c r="L141" s="420"/>
      <c r="M141" s="421"/>
      <c r="N141" s="422"/>
    </row>
    <row r="142" spans="1:14">
      <c r="L142" s="420"/>
      <c r="M142" s="421"/>
      <c r="N142" s="422"/>
    </row>
    <row r="143" spans="1:14">
      <c r="L143" s="420"/>
      <c r="M143" s="421"/>
      <c r="N143" s="422"/>
    </row>
    <row r="144" spans="1:14">
      <c r="L144" s="420"/>
      <c r="M144" s="421"/>
      <c r="N144" s="422"/>
    </row>
    <row r="145" spans="12:14">
      <c r="L145" s="420"/>
      <c r="M145" s="421"/>
      <c r="N145" s="422"/>
    </row>
    <row r="146" spans="12:14">
      <c r="L146" s="420"/>
      <c r="M146" s="421"/>
      <c r="N146" s="422"/>
    </row>
    <row r="147" spans="12:14">
      <c r="L147" s="420"/>
      <c r="M147" s="421"/>
      <c r="N147" s="422"/>
    </row>
    <row r="148" spans="12:14">
      <c r="L148" s="420"/>
      <c r="M148" s="421"/>
      <c r="N148" s="422"/>
    </row>
    <row r="149" spans="12:14">
      <c r="L149" s="420"/>
      <c r="M149" s="421"/>
      <c r="N149" s="422"/>
    </row>
    <row r="150" spans="12:14">
      <c r="L150" s="420"/>
      <c r="M150" s="421"/>
      <c r="N150" s="422"/>
    </row>
    <row r="151" spans="12:14">
      <c r="L151" s="420"/>
      <c r="M151" s="421"/>
      <c r="N151" s="422"/>
    </row>
    <row r="152" spans="12:14">
      <c r="L152" s="420"/>
      <c r="M152" s="421"/>
      <c r="N152" s="422"/>
    </row>
    <row r="153" spans="12:14">
      <c r="L153" s="420"/>
      <c r="M153" s="421"/>
      <c r="N153" s="422"/>
    </row>
    <row r="154" spans="12:14">
      <c r="L154" s="420"/>
      <c r="M154" s="421"/>
      <c r="N154" s="422"/>
    </row>
    <row r="155" spans="12:14">
      <c r="L155" s="420"/>
      <c r="M155" s="421"/>
      <c r="N155" s="422"/>
    </row>
    <row r="156" spans="12:14">
      <c r="L156" s="420"/>
      <c r="M156" s="421"/>
      <c r="N156" s="422"/>
    </row>
    <row r="157" spans="12:14">
      <c r="L157" s="420"/>
      <c r="M157" s="421"/>
      <c r="N157" s="422"/>
    </row>
    <row r="158" spans="12:14">
      <c r="L158" s="420"/>
      <c r="M158" s="421"/>
      <c r="N158" s="422"/>
    </row>
    <row r="159" spans="12:14">
      <c r="L159" s="420"/>
      <c r="M159" s="421"/>
      <c r="N159" s="422"/>
    </row>
    <row r="160" spans="12:14">
      <c r="L160" s="420"/>
      <c r="M160" s="421"/>
      <c r="N160" s="422"/>
    </row>
    <row r="161" spans="12:14">
      <c r="L161" s="420"/>
      <c r="M161" s="421"/>
      <c r="N161" s="422"/>
    </row>
    <row r="162" spans="12:14">
      <c r="L162" s="420"/>
      <c r="M162" s="421"/>
      <c r="N162" s="422"/>
    </row>
    <row r="163" spans="12:14">
      <c r="L163" s="420"/>
      <c r="M163" s="421"/>
      <c r="N163" s="422"/>
    </row>
    <row r="164" spans="12:14">
      <c r="L164" s="420"/>
      <c r="M164" s="421"/>
      <c r="N164" s="422"/>
    </row>
    <row r="165" spans="12:14">
      <c r="L165" s="420"/>
      <c r="M165" s="421"/>
      <c r="N165" s="422"/>
    </row>
    <row r="166" spans="12:14">
      <c r="L166" s="420"/>
      <c r="M166" s="421"/>
      <c r="N166" s="422"/>
    </row>
    <row r="167" spans="12:14">
      <c r="L167" s="420"/>
      <c r="M167" s="421"/>
      <c r="N167" s="422"/>
    </row>
    <row r="168" spans="12:14">
      <c r="L168" s="420"/>
      <c r="M168" s="421"/>
      <c r="N168" s="422"/>
    </row>
    <row r="169" spans="12:14">
      <c r="L169" s="420"/>
      <c r="M169" s="421"/>
      <c r="N169" s="422"/>
    </row>
    <row r="170" spans="12:14">
      <c r="L170" s="420"/>
      <c r="M170" s="421"/>
      <c r="N170" s="422"/>
    </row>
    <row r="171" spans="12:14">
      <c r="L171" s="420"/>
      <c r="M171" s="421"/>
      <c r="N171" s="422"/>
    </row>
    <row r="172" spans="12:14">
      <c r="L172" s="420"/>
      <c r="M172" s="421"/>
      <c r="N172" s="422"/>
    </row>
    <row r="173" spans="12:14">
      <c r="L173" s="420"/>
      <c r="M173" s="421"/>
      <c r="N173" s="422"/>
    </row>
    <row r="174" spans="12:14">
      <c r="L174" s="420"/>
      <c r="M174" s="421"/>
      <c r="N174" s="422"/>
    </row>
    <row r="175" spans="12:14">
      <c r="L175" s="420"/>
      <c r="M175" s="421"/>
      <c r="N175" s="422"/>
    </row>
    <row r="176" spans="12:14">
      <c r="L176" s="420"/>
      <c r="M176" s="421"/>
      <c r="N176" s="422"/>
    </row>
    <row r="177" spans="12:14">
      <c r="L177" s="420"/>
      <c r="M177" s="421"/>
      <c r="N177" s="422"/>
    </row>
    <row r="178" spans="12:14">
      <c r="L178" s="420"/>
      <c r="M178" s="421"/>
      <c r="N178" s="422"/>
    </row>
    <row r="179" spans="12:14">
      <c r="L179" s="420"/>
      <c r="M179" s="421"/>
      <c r="N179" s="422"/>
    </row>
    <row r="180" spans="12:14">
      <c r="L180" s="420"/>
      <c r="M180" s="421"/>
      <c r="N180" s="422"/>
    </row>
    <row r="181" spans="12:14">
      <c r="L181" s="420"/>
      <c r="M181" s="421"/>
      <c r="N181" s="422"/>
    </row>
    <row r="182" spans="12:14">
      <c r="L182" s="420"/>
      <c r="M182" s="421"/>
      <c r="N182" s="422"/>
    </row>
  </sheetData>
  <mergeCells count="10">
    <mergeCell ref="R9:V10"/>
    <mergeCell ref="R11:R12"/>
    <mergeCell ref="S11:S12"/>
    <mergeCell ref="E24:I24"/>
    <mergeCell ref="E26:I26"/>
    <mergeCell ref="F42:G42"/>
    <mergeCell ref="F49:G49"/>
    <mergeCell ref="F57:G57"/>
    <mergeCell ref="E8:I8"/>
    <mergeCell ref="E9:F10"/>
  </mergeCells>
  <pageMargins left="0.75" right="0.75" top="1" bottom="1" header="0.5" footer="0.5"/>
  <pageSetup scale="4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3"/>
  </sheetPr>
  <dimension ref="A1:AV181"/>
  <sheetViews>
    <sheetView topLeftCell="E4" zoomScale="55" zoomScaleNormal="55" zoomScaleSheetLayoutView="70" workbookViewId="0">
      <selection activeCell="L22" sqref="L22"/>
    </sheetView>
  </sheetViews>
  <sheetFormatPr defaultRowHeight="23.5" outlineLevelRow="1" outlineLevelCol="1"/>
  <cols>
    <col min="1" max="4" width="9.1796875" style="339" hidden="1" customWidth="1" outlineLevel="1"/>
    <col min="5" max="5" width="92" style="339" customWidth="1" collapsed="1"/>
    <col min="6" max="6" width="37.81640625" style="339" bestFit="1" customWidth="1"/>
    <col min="7" max="7" width="38.7265625" style="339" customWidth="1"/>
    <col min="8" max="8" width="26.54296875" style="339" customWidth="1"/>
    <col min="9" max="9" width="26.26953125" style="339" customWidth="1"/>
    <col min="10" max="10" width="3.453125" style="419" customWidth="1"/>
    <col min="11" max="11" width="1.26953125" style="419" customWidth="1"/>
    <col min="12" max="12" width="24.26953125" style="388" bestFit="1" customWidth="1"/>
    <col min="13" max="13" width="24.7265625" style="389" customWidth="1"/>
    <col min="14" max="14" width="32.453125" style="402" customWidth="1"/>
    <col min="15" max="15" width="18.453125" style="419" customWidth="1"/>
    <col min="16" max="16" width="15.1796875" style="419" customWidth="1"/>
    <col min="17" max="44" width="8.7265625" style="419"/>
  </cols>
  <sheetData>
    <row r="1" spans="1:48" s="419" customFormat="1">
      <c r="L1" s="420"/>
      <c r="M1" s="421"/>
      <c r="N1" s="422"/>
    </row>
    <row r="2" spans="1:48" s="419" customFormat="1">
      <c r="L2" s="420"/>
      <c r="M2" s="421"/>
      <c r="N2" s="422"/>
    </row>
    <row r="3" spans="1:48" s="419" customFormat="1">
      <c r="L3" s="420"/>
      <c r="M3" s="421"/>
      <c r="N3" s="422"/>
    </row>
    <row r="4" spans="1:48" s="419" customFormat="1">
      <c r="L4" s="420"/>
      <c r="M4" s="421"/>
      <c r="N4" s="422"/>
    </row>
    <row r="5" spans="1:48" s="419" customFormat="1">
      <c r="L5" s="420"/>
      <c r="M5" s="421"/>
      <c r="N5" s="422"/>
    </row>
    <row r="6" spans="1:48" s="419" customFormat="1">
      <c r="L6" s="420"/>
      <c r="M6" s="421"/>
      <c r="N6" s="422"/>
    </row>
    <row r="7" spans="1:48" s="419" customFormat="1" ht="24" thickBot="1">
      <c r="L7" s="420"/>
      <c r="M7" s="421"/>
      <c r="N7" s="422"/>
    </row>
    <row r="8" spans="1:48" s="152" customFormat="1" ht="46">
      <c r="A8" s="357"/>
      <c r="B8" s="357"/>
      <c r="C8" s="357"/>
      <c r="D8" s="357"/>
      <c r="E8" s="655" t="s">
        <v>338</v>
      </c>
      <c r="F8" s="656"/>
      <c r="G8" s="656"/>
      <c r="H8" s="656"/>
      <c r="I8" s="657"/>
      <c r="J8" s="423"/>
      <c r="K8" s="423"/>
      <c r="L8" s="424"/>
      <c r="M8" s="425"/>
      <c r="N8" s="426" t="s">
        <v>58</v>
      </c>
      <c r="O8" s="423"/>
      <c r="P8" s="423"/>
      <c r="Q8" s="423"/>
      <c r="R8" s="423"/>
      <c r="S8" s="423"/>
      <c r="T8" s="423"/>
      <c r="U8" s="423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  <c r="AG8" s="423"/>
      <c r="AH8" s="423"/>
      <c r="AI8" s="423"/>
      <c r="AJ8" s="423"/>
      <c r="AK8" s="423"/>
      <c r="AL8" s="423"/>
      <c r="AM8" s="423"/>
      <c r="AN8" s="423"/>
      <c r="AO8" s="423"/>
      <c r="AP8" s="423"/>
      <c r="AQ8" s="423"/>
      <c r="AR8" s="423"/>
      <c r="AS8" s="423"/>
      <c r="AT8" s="423"/>
      <c r="AU8" s="423"/>
      <c r="AV8" s="423"/>
    </row>
    <row r="9" spans="1:48" ht="29" thickBot="1">
      <c r="E9" s="634" t="s">
        <v>387</v>
      </c>
      <c r="F9" s="635"/>
      <c r="G9" s="419"/>
      <c r="H9" s="419"/>
      <c r="I9" s="429"/>
      <c r="L9" s="420"/>
      <c r="M9" s="421"/>
      <c r="N9" s="427" t="s">
        <v>376</v>
      </c>
      <c r="AS9" s="419"/>
      <c r="AT9" s="419"/>
      <c r="AU9" s="419"/>
      <c r="AV9" s="419"/>
    </row>
    <row r="10" spans="1:48" ht="52" customHeight="1" thickBot="1">
      <c r="E10" s="634"/>
      <c r="F10" s="635"/>
      <c r="G10" s="466" t="s">
        <v>389</v>
      </c>
      <c r="H10" s="467" t="s">
        <v>384</v>
      </c>
      <c r="I10" s="468" t="s">
        <v>385</v>
      </c>
      <c r="L10" s="474" t="s">
        <v>375</v>
      </c>
      <c r="M10" s="492">
        <f>F37</f>
        <v>20000</v>
      </c>
      <c r="N10" s="477" t="str">
        <f>IF(F36&lt;F34,"BASED ON IGIR","BASED ON NTHP")</f>
        <v>BASED ON IGIR</v>
      </c>
    </row>
    <row r="11" spans="1:48" ht="34" thickBot="1">
      <c r="E11" s="480" t="s">
        <v>388</v>
      </c>
      <c r="F11" s="464">
        <v>1</v>
      </c>
      <c r="G11" s="469" t="s">
        <v>380</v>
      </c>
      <c r="H11" s="418">
        <v>40000</v>
      </c>
      <c r="I11" s="470">
        <v>3000</v>
      </c>
      <c r="L11" s="420"/>
      <c r="M11" s="421"/>
      <c r="N11" s="427" t="s">
        <v>378</v>
      </c>
    </row>
    <row r="12" spans="1:48" ht="34" thickBot="1">
      <c r="E12" s="471" t="s">
        <v>333</v>
      </c>
      <c r="F12" s="465">
        <v>50000</v>
      </c>
      <c r="G12" s="471" t="s">
        <v>381</v>
      </c>
      <c r="H12" s="417">
        <v>50000</v>
      </c>
      <c r="I12" s="472">
        <v>2000</v>
      </c>
      <c r="L12" s="475" t="s">
        <v>371</v>
      </c>
      <c r="M12" s="399">
        <v>300000</v>
      </c>
      <c r="N12" s="478">
        <f>(0.97912334*M12-F14)-H15</f>
        <v>143737.00199999998</v>
      </c>
      <c r="O12" s="428"/>
    </row>
    <row r="13" spans="1:48" ht="34" thickBot="1">
      <c r="E13" s="471" t="s">
        <v>345</v>
      </c>
      <c r="F13" s="465">
        <v>30000</v>
      </c>
      <c r="G13" s="471" t="s">
        <v>382</v>
      </c>
      <c r="H13" s="417">
        <v>30000</v>
      </c>
      <c r="I13" s="472">
        <v>3000</v>
      </c>
      <c r="L13" s="439" t="s">
        <v>336</v>
      </c>
      <c r="M13" s="440" t="s">
        <v>372</v>
      </c>
      <c r="N13" s="427" t="s">
        <v>377</v>
      </c>
    </row>
    <row r="14" spans="1:48" ht="34" thickBot="1">
      <c r="E14" s="471" t="s">
        <v>334</v>
      </c>
      <c r="F14" s="465">
        <v>0</v>
      </c>
      <c r="G14" s="471" t="s">
        <v>383</v>
      </c>
      <c r="H14" s="417">
        <v>30000</v>
      </c>
      <c r="I14" s="472">
        <v>2000</v>
      </c>
      <c r="L14" s="489" t="s">
        <v>339</v>
      </c>
      <c r="M14" s="490">
        <f>-PMT(F18/12,48,M12)</f>
        <v>8349.2244799428736</v>
      </c>
      <c r="N14" s="479" t="str">
        <f>IF(M14&gt;$M$10,"CANNOT BE","OK")</f>
        <v>OK</v>
      </c>
    </row>
    <row r="15" spans="1:48" ht="34" thickBot="1">
      <c r="E15" s="471" t="s">
        <v>335</v>
      </c>
      <c r="F15" s="465">
        <v>0</v>
      </c>
      <c r="G15" s="473" t="s">
        <v>386</v>
      </c>
      <c r="H15" s="487">
        <f>SUM(H11:H14)</f>
        <v>150000</v>
      </c>
      <c r="I15" s="488">
        <f>SUM(I11:I14)</f>
        <v>10000</v>
      </c>
      <c r="L15" s="489" t="s">
        <v>340</v>
      </c>
      <c r="M15" s="490">
        <f>-PMT(G18/12,36,M12)</f>
        <v>9964.2929438553565</v>
      </c>
      <c r="N15" s="479" t="str">
        <f>IF(M15&gt;$M$10,"CANNOT BE","OK")</f>
        <v>OK</v>
      </c>
    </row>
    <row r="16" spans="1:48" ht="34" thickBot="1">
      <c r="E16" s="430"/>
      <c r="F16" s="431"/>
      <c r="G16" s="432"/>
      <c r="H16" s="432"/>
      <c r="I16" s="433"/>
      <c r="L16" s="489" t="s">
        <v>341</v>
      </c>
      <c r="M16" s="490">
        <f>-PMT(H18/12,24,M12)</f>
        <v>14122.04166697941</v>
      </c>
      <c r="N16" s="479" t="str">
        <f>IF(M16&gt;$M$10,"CANNOT BE","OK")</f>
        <v>OK</v>
      </c>
    </row>
    <row r="17" spans="1:14" ht="29" thickBot="1">
      <c r="E17" s="471" t="s">
        <v>336</v>
      </c>
      <c r="F17" s="481" t="s">
        <v>339</v>
      </c>
      <c r="G17" s="481" t="s">
        <v>340</v>
      </c>
      <c r="H17" s="481" t="s">
        <v>341</v>
      </c>
      <c r="I17" s="482" t="s">
        <v>342</v>
      </c>
      <c r="L17" s="489" t="s">
        <v>342</v>
      </c>
      <c r="M17" s="490">
        <f>-PMT(I18/12,12,M12)</f>
        <v>26654.636603502506</v>
      </c>
      <c r="N17" s="479" t="str">
        <f>IF(M17&gt;$M$10,"CANNOT BE","OK")</f>
        <v>CANNOT BE</v>
      </c>
    </row>
    <row r="18" spans="1:14" ht="29" thickBot="1">
      <c r="E18" s="471" t="s">
        <v>357</v>
      </c>
      <c r="F18" s="483">
        <v>0.15</v>
      </c>
      <c r="G18" s="483">
        <v>0.12</v>
      </c>
      <c r="H18" s="483">
        <v>0.12</v>
      </c>
      <c r="I18" s="483">
        <v>0.12</v>
      </c>
      <c r="L18" s="441"/>
      <c r="M18" s="442"/>
      <c r="N18" s="422"/>
    </row>
    <row r="19" spans="1:14" ht="29" thickBot="1">
      <c r="E19" s="471" t="s">
        <v>346</v>
      </c>
      <c r="F19" s="486">
        <f>ROUNDDOWN(-PV(F18/12,48,F37),-2)</f>
        <v>718600</v>
      </c>
      <c r="G19" s="486">
        <f>ROUNDDOWN(-PV(G18/12,36,F37),-2)</f>
        <v>602100</v>
      </c>
      <c r="H19" s="486">
        <f>ROUNDDOWN(-PV(H18/12,24,F37),-2)</f>
        <v>424800</v>
      </c>
      <c r="I19" s="486">
        <f>ROUNDDOWN(-PV(I18/12,12,F37),-2)</f>
        <v>225100</v>
      </c>
      <c r="L19" s="476" t="s">
        <v>372</v>
      </c>
      <c r="M19" s="493">
        <v>8200</v>
      </c>
      <c r="N19" s="494" t="str">
        <f>IF(M19&gt;M10,"CANNOT BE","OK")</f>
        <v>OK</v>
      </c>
    </row>
    <row r="20" spans="1:14" ht="29" thickBot="1">
      <c r="E20" s="471" t="s">
        <v>337</v>
      </c>
      <c r="F20" s="484">
        <f>-PMT(F18/12,48,F19)</f>
        <v>19999.175704289832</v>
      </c>
      <c r="G20" s="484">
        <f>-PMT(G18/12,36,G19)</f>
        <v>19998.335938317701</v>
      </c>
      <c r="H20" s="484">
        <f>-PMT(H18/12,24,H19)</f>
        <v>19996.811000442845</v>
      </c>
      <c r="I20" s="484">
        <f>-PMT(I18/12,12,I19)</f>
        <v>19999.862331494714</v>
      </c>
      <c r="L20" s="439" t="s">
        <v>336</v>
      </c>
      <c r="M20" s="443" t="s">
        <v>373</v>
      </c>
      <c r="N20" s="427" t="s">
        <v>378</v>
      </c>
    </row>
    <row r="21" spans="1:14" ht="29" thickBot="1">
      <c r="E21" s="471" t="s">
        <v>343</v>
      </c>
      <c r="F21" s="486">
        <f>F19-F14-F31-H15</f>
        <v>554955.66</v>
      </c>
      <c r="G21" s="486">
        <f>G19-F14-G31-H15</f>
        <v>442146.51599999995</v>
      </c>
      <c r="H21" s="486">
        <f>H19-F14-H31-H15</f>
        <v>268380.81599999999</v>
      </c>
      <c r="I21" s="486">
        <f>I19-F14-I31-H15</f>
        <v>72395.714999999997</v>
      </c>
      <c r="L21" s="489" t="s">
        <v>339</v>
      </c>
      <c r="M21" s="490">
        <f>-PV(F18/12,48,M19)</f>
        <v>294638.14344788465</v>
      </c>
      <c r="N21" s="491">
        <f>(M21*0.97912334)-$F$14-H15</f>
        <v>138487.08310409193</v>
      </c>
    </row>
    <row r="22" spans="1:14" ht="29" thickBot="1">
      <c r="E22" s="471" t="s">
        <v>344</v>
      </c>
      <c r="F22" s="485">
        <f>$F$13-F20+$F$15+$I$15</f>
        <v>20000.824295710168</v>
      </c>
      <c r="G22" s="485">
        <f>$F$13-G20+$F$15+I15</f>
        <v>20001.664061682299</v>
      </c>
      <c r="H22" s="485">
        <f>$F$13-H20+$F$15+I15</f>
        <v>20003.188999557155</v>
      </c>
      <c r="I22" s="485">
        <f>$F$13-I20+$F$15+I15</f>
        <v>20000.137668505286</v>
      </c>
      <c r="L22" s="489" t="s">
        <v>340</v>
      </c>
      <c r="M22" s="490">
        <f>-PV(G18/12,36,M19)</f>
        <v>246881.54130564784</v>
      </c>
      <c r="N22" s="491">
        <f>(M22*0.97912334)-$F$14-H15</f>
        <v>91727.479307533882</v>
      </c>
    </row>
    <row r="23" spans="1:14" ht="29" thickBot="1">
      <c r="E23" s="434"/>
      <c r="F23" s="435"/>
      <c r="G23" s="435"/>
      <c r="H23" s="435"/>
      <c r="I23" s="436"/>
      <c r="L23" s="489" t="s">
        <v>341</v>
      </c>
      <c r="M23" s="490">
        <f>-PV(H18/12,24,M19)</f>
        <v>174195.77551254863</v>
      </c>
      <c r="N23" s="491">
        <f>(M23*0.97912334)-$F$14-H15</f>
        <v>20559.14953373684</v>
      </c>
    </row>
    <row r="24" spans="1:14" ht="38.25" customHeight="1" thickBot="1">
      <c r="E24" s="636" t="s">
        <v>367</v>
      </c>
      <c r="F24" s="637"/>
      <c r="G24" s="637"/>
      <c r="H24" s="637"/>
      <c r="I24" s="638"/>
      <c r="L24" s="489" t="s">
        <v>342</v>
      </c>
      <c r="M24" s="490">
        <f>-PV(I18/12,12,M19)</f>
        <v>92291.635282573989</v>
      </c>
      <c r="N24" s="491">
        <f>(M24*0.97912334)-$F$14-H15</f>
        <v>-59635.105808064312</v>
      </c>
    </row>
    <row r="25" spans="1:14" ht="28.5">
      <c r="E25" s="437"/>
      <c r="F25" s="435"/>
      <c r="G25" s="435"/>
      <c r="H25" s="419"/>
      <c r="I25" s="438" t="s">
        <v>369</v>
      </c>
      <c r="L25" s="420"/>
      <c r="M25" s="421"/>
      <c r="N25" s="422"/>
    </row>
    <row r="26" spans="1:14" ht="28.5" hidden="1" outlineLevel="1">
      <c r="A26" s="444"/>
      <c r="B26" s="444"/>
      <c r="C26" s="444"/>
      <c r="D26" s="444"/>
      <c r="E26" s="648" t="s">
        <v>368</v>
      </c>
      <c r="F26" s="649"/>
      <c r="G26" s="649"/>
      <c r="H26" s="649"/>
      <c r="I26" s="650"/>
      <c r="L26" s="420"/>
      <c r="M26" s="421"/>
      <c r="N26" s="422"/>
    </row>
    <row r="27" spans="1:14" hidden="1" outlineLevel="1">
      <c r="A27" s="444"/>
      <c r="B27" s="444"/>
      <c r="C27" s="444"/>
      <c r="D27" s="444"/>
      <c r="E27" s="445"/>
      <c r="F27" s="446"/>
      <c r="G27" s="446"/>
      <c r="H27" s="446"/>
      <c r="I27" s="447"/>
      <c r="L27" s="420"/>
      <c r="M27" s="421"/>
      <c r="N27" s="422"/>
    </row>
    <row r="28" spans="1:14" hidden="1" outlineLevel="1">
      <c r="A28" s="444"/>
      <c r="B28" s="444"/>
      <c r="C28" s="444"/>
      <c r="D28" s="444"/>
      <c r="E28" s="448" t="s">
        <v>365</v>
      </c>
      <c r="F28" s="449">
        <f>IF(F19*1%&lt;1500,F19*1%,1500)</f>
        <v>1500</v>
      </c>
      <c r="G28" s="449">
        <f>IF(G19*1%&lt;1500,G19*1%,1500)</f>
        <v>1500</v>
      </c>
      <c r="H28" s="449">
        <f>IF(H19*1%&lt;1500,H19*1%,1500)</f>
        <v>1500</v>
      </c>
      <c r="I28" s="450">
        <f>IF(I19*1%&lt;1500,I19*1%,1500)</f>
        <v>1500</v>
      </c>
      <c r="L28" s="420"/>
      <c r="M28" s="421"/>
      <c r="N28" s="422"/>
    </row>
    <row r="29" spans="1:14" hidden="1" outlineLevel="1">
      <c r="A29" s="444"/>
      <c r="B29" s="444"/>
      <c r="C29" s="444"/>
      <c r="D29" s="444"/>
      <c r="E29" s="448" t="s">
        <v>366</v>
      </c>
      <c r="F29" s="449">
        <f>IF(F19&lt;250000,0,F19/200)</f>
        <v>3593</v>
      </c>
      <c r="G29" s="449">
        <f>IF(G19&lt;250000,0,G19/200)</f>
        <v>3010.5</v>
      </c>
      <c r="H29" s="449">
        <f>IF(H19&lt;250000,0,H19/200)</f>
        <v>2124</v>
      </c>
      <c r="I29" s="450">
        <f>IF(I19&lt;250000,0,I19/200)</f>
        <v>0</v>
      </c>
      <c r="L29" s="420"/>
      <c r="M29" s="421"/>
      <c r="N29" s="422"/>
    </row>
    <row r="30" spans="1:14" hidden="1" outlineLevel="1">
      <c r="A30" s="444"/>
      <c r="B30" s="444"/>
      <c r="C30" s="444"/>
      <c r="D30" s="444"/>
      <c r="E30" s="448" t="s">
        <v>363</v>
      </c>
      <c r="F30" s="449">
        <f>(F19/1000)*G60</f>
        <v>8551.34</v>
      </c>
      <c r="G30" s="449">
        <f>G19*G59/1000</f>
        <v>5442.9839999999995</v>
      </c>
      <c r="H30" s="449">
        <f>H19*6.58/1000</f>
        <v>2795.1840000000002</v>
      </c>
      <c r="I30" s="450">
        <f>I19*G57/1000</f>
        <v>1204.2850000000001</v>
      </c>
      <c r="L30" s="420"/>
      <c r="M30" s="421"/>
      <c r="N30" s="422"/>
    </row>
    <row r="31" spans="1:14" ht="24" hidden="1" outlineLevel="1" thickBot="1">
      <c r="A31" s="444"/>
      <c r="B31" s="444"/>
      <c r="C31" s="444"/>
      <c r="D31" s="444"/>
      <c r="E31" s="451" t="s">
        <v>364</v>
      </c>
      <c r="F31" s="452">
        <f>SUM(F28:F30)</f>
        <v>13644.34</v>
      </c>
      <c r="G31" s="452">
        <f>SUM(G28:G30)</f>
        <v>9953.4840000000004</v>
      </c>
      <c r="H31" s="452">
        <f>SUM(H28:H30)</f>
        <v>6419.1840000000002</v>
      </c>
      <c r="I31" s="453">
        <f>SUM(I28:I30)</f>
        <v>2704.2849999999999</v>
      </c>
      <c r="L31" s="420"/>
      <c r="M31" s="421"/>
      <c r="N31" s="422"/>
    </row>
    <row r="32" spans="1:14" ht="24" hidden="1" outlineLevel="1" thickTop="1">
      <c r="A32" s="444"/>
      <c r="B32" s="444"/>
      <c r="C32" s="444"/>
      <c r="D32" s="444"/>
      <c r="E32" s="448"/>
      <c r="F32" s="449"/>
      <c r="G32" s="449"/>
      <c r="H32" s="449"/>
      <c r="I32" s="450"/>
      <c r="L32" s="420"/>
      <c r="M32" s="421"/>
      <c r="N32" s="422"/>
    </row>
    <row r="33" spans="1:14" ht="28.5" hidden="1" outlineLevel="1">
      <c r="A33" s="444"/>
      <c r="B33" s="444"/>
      <c r="C33" s="444"/>
      <c r="D33" s="444"/>
      <c r="E33" s="454" t="s">
        <v>390</v>
      </c>
      <c r="F33" s="455">
        <f>F13+F15+I15</f>
        <v>40000</v>
      </c>
      <c r="G33" s="444"/>
      <c r="H33" s="444"/>
      <c r="I33" s="456"/>
      <c r="L33" s="420"/>
      <c r="M33" s="421"/>
      <c r="N33" s="422"/>
    </row>
    <row r="34" spans="1:14" ht="28.5" hidden="1" outlineLevel="1">
      <c r="A34" s="444"/>
      <c r="B34" s="444"/>
      <c r="C34" s="444"/>
      <c r="D34" s="444"/>
      <c r="E34" s="454" t="s">
        <v>379</v>
      </c>
      <c r="F34" s="455">
        <f>F33-3500</f>
        <v>36500</v>
      </c>
      <c r="G34" s="444"/>
      <c r="H34" s="444"/>
      <c r="I34" s="456"/>
      <c r="L34" s="420"/>
      <c r="M34" s="421"/>
      <c r="N34" s="422"/>
    </row>
    <row r="35" spans="1:14" ht="28.5" hidden="1" outlineLevel="1">
      <c r="A35" s="444"/>
      <c r="B35" s="444"/>
      <c r="C35" s="444"/>
      <c r="D35" s="444"/>
      <c r="E35" s="454" t="s">
        <v>68</v>
      </c>
      <c r="F35" s="457">
        <f>IF(F11&gt;0,IF(F12&lt;10000,20%,IF(F12&lt;13000,30%,IF(F12&lt;38000,35%,40%))),IF(F12&lt;10000,10%,IF(F12&lt;13000,25%,30%)))</f>
        <v>0.4</v>
      </c>
      <c r="G35" s="444"/>
      <c r="H35" s="444"/>
      <c r="I35" s="456"/>
      <c r="L35" s="420"/>
      <c r="M35" s="421"/>
      <c r="N35" s="422"/>
    </row>
    <row r="36" spans="1:14" ht="28.5" hidden="1" outlineLevel="1">
      <c r="A36" s="444"/>
      <c r="B36" s="444"/>
      <c r="C36" s="444"/>
      <c r="D36" s="444"/>
      <c r="E36" s="454" t="s">
        <v>355</v>
      </c>
      <c r="F36" s="455">
        <f>F35*F12</f>
        <v>20000</v>
      </c>
      <c r="G36" s="444"/>
      <c r="H36" s="444"/>
      <c r="I36" s="456"/>
      <c r="L36" s="420"/>
      <c r="M36" s="421"/>
      <c r="N36" s="422"/>
    </row>
    <row r="37" spans="1:14" ht="28.5" hidden="1" outlineLevel="1">
      <c r="A37" s="444"/>
      <c r="B37" s="444"/>
      <c r="C37" s="444"/>
      <c r="D37" s="444"/>
      <c r="E37" s="454" t="s">
        <v>356</v>
      </c>
      <c r="F37" s="455">
        <f>IF(F34&lt;F36,F34,F36)</f>
        <v>20000</v>
      </c>
      <c r="G37" s="444"/>
      <c r="H37" s="444"/>
      <c r="I37" s="456"/>
      <c r="L37" s="420"/>
      <c r="M37" s="421"/>
      <c r="N37" s="422"/>
    </row>
    <row r="38" spans="1:14" hidden="1" outlineLevel="1">
      <c r="A38" s="444"/>
      <c r="B38" s="444"/>
      <c r="C38" s="444"/>
      <c r="D38" s="444"/>
      <c r="E38" s="445"/>
      <c r="F38" s="444"/>
      <c r="G38" s="444"/>
      <c r="H38" s="444"/>
      <c r="I38" s="456"/>
      <c r="L38" s="420"/>
      <c r="M38" s="421"/>
      <c r="N38" s="422"/>
    </row>
    <row r="39" spans="1:14" hidden="1" outlineLevel="1">
      <c r="A39" s="444"/>
      <c r="B39" s="444"/>
      <c r="C39" s="444"/>
      <c r="D39" s="444"/>
      <c r="E39" s="445"/>
      <c r="F39" s="444"/>
      <c r="G39" s="444"/>
      <c r="H39" s="444"/>
      <c r="I39" s="456"/>
      <c r="L39" s="420"/>
      <c r="M39" s="421"/>
      <c r="N39" s="422"/>
    </row>
    <row r="40" spans="1:14" ht="24" hidden="1" outlineLevel="1" thickBot="1">
      <c r="A40" s="444"/>
      <c r="B40" s="444"/>
      <c r="C40" s="444"/>
      <c r="D40" s="444"/>
      <c r="E40" s="445"/>
      <c r="F40" s="444"/>
      <c r="G40" s="444"/>
      <c r="H40" s="444"/>
      <c r="I40" s="456"/>
      <c r="L40" s="420"/>
      <c r="M40" s="421"/>
      <c r="N40" s="422"/>
    </row>
    <row r="41" spans="1:14" ht="24" hidden="1" outlineLevel="1" thickBot="1">
      <c r="A41" s="444"/>
      <c r="B41" s="444"/>
      <c r="C41" s="444"/>
      <c r="D41" s="444"/>
      <c r="E41" s="445"/>
      <c r="F41" s="651" t="s">
        <v>353</v>
      </c>
      <c r="G41" s="652"/>
      <c r="H41" s="444"/>
      <c r="I41" s="456"/>
      <c r="L41" s="420"/>
      <c r="M41" s="421"/>
      <c r="N41" s="422"/>
    </row>
    <row r="42" spans="1:14" ht="24" hidden="1" outlineLevel="1" thickBot="1">
      <c r="A42" s="444"/>
      <c r="B42" s="444"/>
      <c r="C42" s="444"/>
      <c r="D42" s="444"/>
      <c r="E42" s="445"/>
      <c r="F42" s="458" t="s">
        <v>348</v>
      </c>
      <c r="G42" s="459">
        <v>0.1</v>
      </c>
      <c r="H42" s="444"/>
      <c r="I42" s="456"/>
      <c r="L42" s="420"/>
      <c r="M42" s="421"/>
      <c r="N42" s="422"/>
    </row>
    <row r="43" spans="1:14" ht="24" hidden="1" outlineLevel="1" thickBot="1">
      <c r="A43" s="444"/>
      <c r="B43" s="444"/>
      <c r="C43" s="444"/>
      <c r="D43" s="444"/>
      <c r="E43" s="445"/>
      <c r="F43" s="458" t="s">
        <v>349</v>
      </c>
      <c r="G43" s="459">
        <v>0.25</v>
      </c>
      <c r="H43" s="444"/>
      <c r="I43" s="456"/>
      <c r="L43" s="420"/>
      <c r="M43" s="421"/>
      <c r="N43" s="422"/>
    </row>
    <row r="44" spans="1:14" ht="24" hidden="1" outlineLevel="1" thickBot="1">
      <c r="A44" s="444"/>
      <c r="B44" s="444"/>
      <c r="C44" s="444"/>
      <c r="D44" s="444"/>
      <c r="E44" s="445"/>
      <c r="F44" s="458" t="s">
        <v>350</v>
      </c>
      <c r="G44" s="459">
        <v>0.3</v>
      </c>
      <c r="H44" s="444"/>
      <c r="I44" s="456"/>
      <c r="L44" s="420"/>
      <c r="M44" s="421"/>
      <c r="N44" s="422"/>
    </row>
    <row r="45" spans="1:14" ht="24" hidden="1" outlineLevel="1" thickBot="1">
      <c r="A45" s="444"/>
      <c r="B45" s="444"/>
      <c r="C45" s="444"/>
      <c r="D45" s="444"/>
      <c r="E45" s="445"/>
      <c r="F45" s="458" t="s">
        <v>351</v>
      </c>
      <c r="G45" s="459">
        <v>0.3</v>
      </c>
      <c r="H45" s="444"/>
      <c r="I45" s="456"/>
      <c r="L45" s="420"/>
      <c r="M45" s="421"/>
      <c r="N45" s="422"/>
    </row>
    <row r="46" spans="1:14" ht="24" hidden="1" outlineLevel="1" thickBot="1">
      <c r="A46" s="444"/>
      <c r="B46" s="444"/>
      <c r="C46" s="444"/>
      <c r="D46" s="444"/>
      <c r="E46" s="445"/>
      <c r="F46" s="458" t="s">
        <v>352</v>
      </c>
      <c r="G46" s="459">
        <v>0.3</v>
      </c>
      <c r="H46" s="444"/>
      <c r="I46" s="456"/>
      <c r="L46" s="420"/>
      <c r="M46" s="421"/>
      <c r="N46" s="422"/>
    </row>
    <row r="47" spans="1:14" ht="24" hidden="1" outlineLevel="1" thickBot="1">
      <c r="A47" s="444"/>
      <c r="B47" s="444"/>
      <c r="C47" s="444"/>
      <c r="D47" s="444"/>
      <c r="E47" s="445"/>
      <c r="F47" s="444"/>
      <c r="G47" s="444"/>
      <c r="H47" s="444"/>
      <c r="I47" s="456"/>
      <c r="L47" s="420"/>
      <c r="M47" s="421"/>
      <c r="N47" s="422"/>
    </row>
    <row r="48" spans="1:14" ht="24" hidden="1" outlineLevel="1" thickBot="1">
      <c r="A48" s="444"/>
      <c r="B48" s="444"/>
      <c r="C48" s="444"/>
      <c r="D48" s="444"/>
      <c r="E48" s="445"/>
      <c r="F48" s="651" t="s">
        <v>354</v>
      </c>
      <c r="G48" s="652"/>
      <c r="H48" s="444"/>
      <c r="I48" s="456"/>
      <c r="L48" s="420"/>
      <c r="M48" s="421"/>
      <c r="N48" s="422"/>
    </row>
    <row r="49" spans="1:14" ht="24" hidden="1" outlineLevel="1" thickBot="1">
      <c r="A49" s="444"/>
      <c r="B49" s="444"/>
      <c r="C49" s="444"/>
      <c r="D49" s="444"/>
      <c r="E49" s="445"/>
      <c r="F49" s="458" t="s">
        <v>348</v>
      </c>
      <c r="G49" s="459">
        <v>0.2</v>
      </c>
      <c r="H49" s="444"/>
      <c r="I49" s="456"/>
      <c r="L49" s="420"/>
      <c r="M49" s="421"/>
      <c r="N49" s="422"/>
    </row>
    <row r="50" spans="1:14" ht="24" hidden="1" outlineLevel="1" thickBot="1">
      <c r="A50" s="444"/>
      <c r="B50" s="444"/>
      <c r="C50" s="444"/>
      <c r="D50" s="444"/>
      <c r="E50" s="445"/>
      <c r="F50" s="458" t="s">
        <v>349</v>
      </c>
      <c r="G50" s="459">
        <v>0.3</v>
      </c>
      <c r="H50" s="444"/>
      <c r="I50" s="456"/>
      <c r="L50" s="420"/>
      <c r="M50" s="421"/>
      <c r="N50" s="422"/>
    </row>
    <row r="51" spans="1:14" ht="24" hidden="1" outlineLevel="1" thickBot="1">
      <c r="A51" s="444"/>
      <c r="B51" s="444"/>
      <c r="C51" s="444"/>
      <c r="D51" s="444"/>
      <c r="E51" s="445"/>
      <c r="F51" s="458" t="s">
        <v>350</v>
      </c>
      <c r="G51" s="459">
        <v>0.35</v>
      </c>
      <c r="H51" s="444"/>
      <c r="I51" s="456"/>
      <c r="L51" s="420"/>
      <c r="M51" s="421"/>
      <c r="N51" s="422"/>
    </row>
    <row r="52" spans="1:14" ht="24" hidden="1" outlineLevel="1" thickBot="1">
      <c r="A52" s="444"/>
      <c r="B52" s="444"/>
      <c r="C52" s="444"/>
      <c r="D52" s="444"/>
      <c r="E52" s="445"/>
      <c r="F52" s="458" t="s">
        <v>351</v>
      </c>
      <c r="G52" s="459">
        <v>0.35</v>
      </c>
      <c r="H52" s="444"/>
      <c r="I52" s="456"/>
      <c r="L52" s="420"/>
      <c r="M52" s="421"/>
      <c r="N52" s="422"/>
    </row>
    <row r="53" spans="1:14" ht="24" hidden="1" outlineLevel="1" thickBot="1">
      <c r="A53" s="444"/>
      <c r="B53" s="444"/>
      <c r="C53" s="444"/>
      <c r="D53" s="444"/>
      <c r="E53" s="445"/>
      <c r="F53" s="458" t="s">
        <v>352</v>
      </c>
      <c r="G53" s="459">
        <v>0.4</v>
      </c>
      <c r="H53" s="444"/>
      <c r="I53" s="456"/>
      <c r="L53" s="420"/>
      <c r="M53" s="421"/>
      <c r="N53" s="422"/>
    </row>
    <row r="54" spans="1:14" hidden="1" outlineLevel="1">
      <c r="A54" s="444"/>
      <c r="B54" s="444"/>
      <c r="C54" s="444"/>
      <c r="D54" s="444"/>
      <c r="E54" s="445"/>
      <c r="F54" s="444"/>
      <c r="G54" s="444"/>
      <c r="H54" s="444"/>
      <c r="I54" s="456"/>
      <c r="L54" s="420"/>
      <c r="M54" s="421"/>
      <c r="N54" s="422"/>
    </row>
    <row r="55" spans="1:14" ht="24" hidden="1" outlineLevel="1" thickBot="1">
      <c r="A55" s="444"/>
      <c r="B55" s="444"/>
      <c r="C55" s="444"/>
      <c r="D55" s="444"/>
      <c r="E55" s="445"/>
      <c r="F55" s="444"/>
      <c r="G55" s="444"/>
      <c r="H55" s="444"/>
      <c r="I55" s="456"/>
      <c r="L55" s="420"/>
      <c r="M55" s="421"/>
      <c r="N55" s="422"/>
    </row>
    <row r="56" spans="1:14" ht="24" hidden="1" outlineLevel="1" thickBot="1">
      <c r="A56" s="444"/>
      <c r="B56" s="444"/>
      <c r="C56" s="444"/>
      <c r="D56" s="444"/>
      <c r="E56" s="445"/>
      <c r="F56" s="646" t="s">
        <v>362</v>
      </c>
      <c r="G56" s="647"/>
      <c r="H56" s="444"/>
      <c r="I56" s="456"/>
      <c r="L56" s="420"/>
      <c r="M56" s="421"/>
      <c r="N56" s="422"/>
    </row>
    <row r="57" spans="1:14" ht="24" hidden="1" outlineLevel="1" thickBot="1">
      <c r="A57" s="444"/>
      <c r="B57" s="444"/>
      <c r="C57" s="444"/>
      <c r="D57" s="444"/>
      <c r="E57" s="445"/>
      <c r="F57" s="458" t="s">
        <v>358</v>
      </c>
      <c r="G57" s="460">
        <v>5.35</v>
      </c>
      <c r="H57" s="444"/>
      <c r="I57" s="456"/>
      <c r="L57" s="420"/>
      <c r="M57" s="421"/>
      <c r="N57" s="422"/>
    </row>
    <row r="58" spans="1:14" ht="24" hidden="1" outlineLevel="1" thickBot="1">
      <c r="A58" s="444"/>
      <c r="B58" s="444"/>
      <c r="C58" s="444"/>
      <c r="D58" s="444"/>
      <c r="E58" s="445"/>
      <c r="F58" s="458" t="s">
        <v>359</v>
      </c>
      <c r="G58" s="460">
        <v>6.58</v>
      </c>
      <c r="H58" s="444"/>
      <c r="I58" s="456"/>
      <c r="L58" s="420"/>
      <c r="M58" s="421"/>
      <c r="N58" s="422"/>
    </row>
    <row r="59" spans="1:14" ht="24" hidden="1" outlineLevel="1" thickBot="1">
      <c r="A59" s="444"/>
      <c r="B59" s="444"/>
      <c r="C59" s="444"/>
      <c r="D59" s="444"/>
      <c r="E59" s="445"/>
      <c r="F59" s="458" t="s">
        <v>360</v>
      </c>
      <c r="G59" s="460">
        <v>9.0399999999999991</v>
      </c>
      <c r="H59" s="444"/>
      <c r="I59" s="456"/>
      <c r="L59" s="420"/>
      <c r="M59" s="421"/>
      <c r="N59" s="422"/>
    </row>
    <row r="60" spans="1:14" ht="24" hidden="1" outlineLevel="1" thickBot="1">
      <c r="A60" s="444"/>
      <c r="B60" s="444"/>
      <c r="C60" s="444"/>
      <c r="D60" s="444"/>
      <c r="E60" s="445"/>
      <c r="F60" s="458" t="s">
        <v>361</v>
      </c>
      <c r="G60" s="461">
        <v>11.9</v>
      </c>
      <c r="H60" s="444"/>
      <c r="I60" s="456"/>
      <c r="L60" s="420"/>
      <c r="M60" s="421"/>
      <c r="N60" s="422"/>
    </row>
    <row r="61" spans="1:14" hidden="1" outlineLevel="1">
      <c r="A61" s="444"/>
      <c r="B61" s="444"/>
      <c r="C61" s="444"/>
      <c r="D61" s="444"/>
      <c r="E61" s="445"/>
      <c r="F61" s="444"/>
      <c r="G61" s="444"/>
      <c r="H61" s="444"/>
      <c r="I61" s="456"/>
      <c r="L61" s="420"/>
      <c r="M61" s="421"/>
      <c r="N61" s="422"/>
    </row>
    <row r="62" spans="1:14" ht="24" hidden="1" outlineLevel="1" thickBot="1">
      <c r="A62" s="444"/>
      <c r="B62" s="444"/>
      <c r="C62" s="444"/>
      <c r="D62" s="444"/>
      <c r="E62" s="462"/>
      <c r="F62" s="463"/>
      <c r="G62" s="463"/>
      <c r="H62" s="463"/>
      <c r="I62" s="461"/>
      <c r="L62" s="420"/>
      <c r="M62" s="421"/>
      <c r="N62" s="422"/>
    </row>
    <row r="63" spans="1:14" hidden="1" outlineLevel="1">
      <c r="A63" s="444"/>
      <c r="B63" s="444"/>
      <c r="C63" s="444"/>
      <c r="D63" s="444"/>
      <c r="E63" s="444"/>
      <c r="F63" s="444"/>
      <c r="G63" s="444"/>
      <c r="H63" s="444"/>
      <c r="I63" s="444"/>
      <c r="L63" s="420"/>
      <c r="M63" s="421"/>
      <c r="N63" s="422"/>
    </row>
    <row r="64" spans="1:14" collapsed="1">
      <c r="A64" s="444"/>
      <c r="B64" s="444"/>
      <c r="C64" s="444"/>
      <c r="D64" s="444"/>
      <c r="E64" s="444"/>
      <c r="F64" s="444"/>
      <c r="G64" s="444"/>
      <c r="H64" s="444"/>
      <c r="I64" s="444"/>
      <c r="L64" s="420"/>
      <c r="M64" s="421"/>
      <c r="N64" s="422"/>
    </row>
    <row r="65" spans="1:14">
      <c r="A65" s="444"/>
      <c r="B65" s="444"/>
      <c r="C65" s="444"/>
      <c r="D65" s="444"/>
      <c r="E65" s="444"/>
      <c r="F65" s="444"/>
      <c r="G65" s="444"/>
      <c r="H65" s="444"/>
      <c r="I65" s="444"/>
      <c r="L65" s="420"/>
      <c r="M65" s="421"/>
      <c r="N65" s="422"/>
    </row>
    <row r="66" spans="1:14">
      <c r="A66" s="444"/>
      <c r="B66" s="444"/>
      <c r="C66" s="444"/>
      <c r="D66" s="444"/>
      <c r="E66" s="444"/>
      <c r="F66" s="444"/>
      <c r="G66" s="444"/>
      <c r="H66" s="444"/>
      <c r="I66" s="444"/>
      <c r="L66" s="420"/>
      <c r="M66" s="421"/>
      <c r="N66" s="422"/>
    </row>
    <row r="67" spans="1:14">
      <c r="A67" s="444"/>
      <c r="B67" s="444"/>
      <c r="C67" s="444"/>
      <c r="D67" s="444"/>
      <c r="E67" s="444"/>
      <c r="F67" s="444"/>
      <c r="G67" s="444"/>
      <c r="H67" s="444"/>
      <c r="I67" s="444"/>
      <c r="L67" s="420"/>
      <c r="M67" s="421"/>
      <c r="N67" s="422"/>
    </row>
    <row r="68" spans="1:14">
      <c r="A68" s="444"/>
      <c r="B68" s="444"/>
      <c r="C68" s="444"/>
      <c r="D68" s="444"/>
      <c r="E68" s="444"/>
      <c r="F68" s="444"/>
      <c r="G68" s="444"/>
      <c r="H68" s="444"/>
      <c r="I68" s="444"/>
      <c r="L68" s="420"/>
      <c r="M68" s="421"/>
      <c r="N68" s="422"/>
    </row>
    <row r="69" spans="1:14">
      <c r="A69" s="444"/>
      <c r="B69" s="444"/>
      <c r="C69" s="444"/>
      <c r="D69" s="444"/>
      <c r="E69" s="444"/>
      <c r="F69" s="444"/>
      <c r="G69" s="444"/>
      <c r="H69" s="444"/>
      <c r="I69" s="444"/>
      <c r="L69" s="420"/>
      <c r="M69" s="421"/>
      <c r="N69" s="422"/>
    </row>
    <row r="70" spans="1:14">
      <c r="A70" s="444"/>
      <c r="B70" s="444"/>
      <c r="C70" s="444"/>
      <c r="D70" s="444"/>
      <c r="E70" s="444"/>
      <c r="F70" s="444"/>
      <c r="G70" s="444"/>
      <c r="H70" s="444"/>
      <c r="I70" s="444"/>
      <c r="L70" s="420"/>
      <c r="M70" s="421"/>
      <c r="N70" s="422"/>
    </row>
    <row r="71" spans="1:14">
      <c r="A71" s="444"/>
      <c r="B71" s="444"/>
      <c r="C71" s="444"/>
      <c r="D71" s="444"/>
      <c r="E71" s="444"/>
      <c r="F71" s="444"/>
      <c r="G71" s="444"/>
      <c r="H71" s="444"/>
      <c r="I71" s="444"/>
      <c r="L71" s="420"/>
      <c r="M71" s="421"/>
      <c r="N71" s="422"/>
    </row>
    <row r="72" spans="1:14">
      <c r="A72" s="444"/>
      <c r="B72" s="444"/>
      <c r="C72" s="444"/>
      <c r="D72" s="444"/>
      <c r="E72" s="444"/>
      <c r="F72" s="444"/>
      <c r="G72" s="444"/>
      <c r="H72" s="444"/>
      <c r="I72" s="444"/>
      <c r="L72" s="420"/>
      <c r="M72" s="421"/>
      <c r="N72" s="422"/>
    </row>
    <row r="73" spans="1:14">
      <c r="A73" s="444"/>
      <c r="B73" s="444"/>
      <c r="C73" s="444"/>
      <c r="D73" s="444"/>
      <c r="E73" s="444"/>
      <c r="F73" s="444"/>
      <c r="G73" s="444"/>
      <c r="H73" s="444"/>
      <c r="I73" s="444"/>
      <c r="L73" s="420"/>
      <c r="M73" s="421"/>
      <c r="N73" s="422"/>
    </row>
    <row r="74" spans="1:14">
      <c r="A74" s="444"/>
      <c r="B74" s="444"/>
      <c r="C74" s="444"/>
      <c r="D74" s="444"/>
      <c r="E74" s="444"/>
      <c r="F74" s="444"/>
      <c r="G74" s="444"/>
      <c r="H74" s="444"/>
      <c r="I74" s="444"/>
      <c r="L74" s="420"/>
      <c r="M74" s="421"/>
      <c r="N74" s="422"/>
    </row>
    <row r="75" spans="1:14">
      <c r="A75" s="444"/>
      <c r="B75" s="444"/>
      <c r="C75" s="444"/>
      <c r="D75" s="444"/>
      <c r="E75" s="444"/>
      <c r="F75" s="444"/>
      <c r="G75" s="444"/>
      <c r="H75" s="444"/>
      <c r="I75" s="444"/>
      <c r="L75" s="420"/>
      <c r="M75" s="421"/>
      <c r="N75" s="422"/>
    </row>
    <row r="76" spans="1:14">
      <c r="A76" s="444"/>
      <c r="B76" s="444"/>
      <c r="C76" s="444"/>
      <c r="D76" s="444"/>
      <c r="E76" s="444"/>
      <c r="F76" s="444"/>
      <c r="G76" s="444"/>
      <c r="H76" s="444"/>
      <c r="I76" s="444"/>
      <c r="L76" s="420"/>
      <c r="M76" s="421"/>
      <c r="N76" s="422"/>
    </row>
    <row r="77" spans="1:14">
      <c r="A77" s="444"/>
      <c r="B77" s="444"/>
      <c r="C77" s="444"/>
      <c r="D77" s="444"/>
      <c r="E77" s="444"/>
      <c r="F77" s="444"/>
      <c r="G77" s="444"/>
      <c r="H77" s="444"/>
      <c r="I77" s="444"/>
      <c r="L77" s="420"/>
      <c r="M77" s="421"/>
      <c r="N77" s="422"/>
    </row>
    <row r="78" spans="1:14">
      <c r="A78" s="444"/>
      <c r="B78" s="444"/>
      <c r="C78" s="444"/>
      <c r="D78" s="444"/>
      <c r="E78" s="444"/>
      <c r="F78" s="444"/>
      <c r="G78" s="444"/>
      <c r="H78" s="444"/>
      <c r="I78" s="444"/>
      <c r="L78" s="420"/>
      <c r="M78" s="421"/>
      <c r="N78" s="422"/>
    </row>
    <row r="79" spans="1:14">
      <c r="A79" s="444"/>
      <c r="B79" s="444"/>
      <c r="C79" s="444"/>
      <c r="D79" s="444"/>
      <c r="E79" s="444"/>
      <c r="F79" s="444"/>
      <c r="G79" s="444"/>
      <c r="H79" s="444"/>
      <c r="I79" s="444"/>
      <c r="L79" s="420"/>
      <c r="M79" s="421"/>
      <c r="N79" s="422"/>
    </row>
    <row r="80" spans="1:14">
      <c r="A80" s="444"/>
      <c r="B80" s="444"/>
      <c r="C80" s="444"/>
      <c r="D80" s="444"/>
      <c r="E80" s="444"/>
      <c r="F80" s="444"/>
      <c r="G80" s="444"/>
      <c r="H80" s="444"/>
      <c r="I80" s="444"/>
      <c r="L80" s="420"/>
      <c r="M80" s="421"/>
      <c r="N80" s="422"/>
    </row>
    <row r="81" spans="1:14">
      <c r="A81" s="444"/>
      <c r="B81" s="444"/>
      <c r="C81" s="444"/>
      <c r="D81" s="444"/>
      <c r="E81" s="444"/>
      <c r="F81" s="444"/>
      <c r="G81" s="444"/>
      <c r="H81" s="444"/>
      <c r="I81" s="444"/>
      <c r="L81" s="420"/>
      <c r="M81" s="421"/>
      <c r="N81" s="422"/>
    </row>
    <row r="82" spans="1:14">
      <c r="A82" s="444"/>
      <c r="B82" s="444"/>
      <c r="C82" s="444"/>
      <c r="D82" s="444"/>
      <c r="E82" s="444"/>
      <c r="F82" s="444"/>
      <c r="G82" s="444"/>
      <c r="H82" s="444"/>
      <c r="I82" s="444"/>
      <c r="L82" s="420"/>
      <c r="M82" s="421"/>
      <c r="N82" s="422"/>
    </row>
    <row r="83" spans="1:14">
      <c r="A83" s="444"/>
      <c r="B83" s="444"/>
      <c r="C83" s="444"/>
      <c r="D83" s="444"/>
      <c r="E83" s="444"/>
      <c r="F83" s="444"/>
      <c r="G83" s="444"/>
      <c r="H83" s="444"/>
      <c r="I83" s="444"/>
      <c r="L83" s="420"/>
      <c r="M83" s="421"/>
      <c r="N83" s="422"/>
    </row>
    <row r="84" spans="1:14">
      <c r="A84" s="444"/>
      <c r="B84" s="444"/>
      <c r="C84" s="444"/>
      <c r="D84" s="444"/>
      <c r="E84" s="444"/>
      <c r="F84" s="444"/>
      <c r="G84" s="444"/>
      <c r="H84" s="444"/>
      <c r="I84" s="444"/>
      <c r="L84" s="420"/>
      <c r="M84" s="421"/>
      <c r="N84" s="422"/>
    </row>
    <row r="85" spans="1:14">
      <c r="A85" s="444"/>
      <c r="B85" s="444"/>
      <c r="C85" s="444"/>
      <c r="D85" s="444"/>
      <c r="E85" s="444"/>
      <c r="F85" s="444"/>
      <c r="G85" s="444"/>
      <c r="H85" s="444"/>
      <c r="I85" s="444"/>
      <c r="L85" s="420"/>
      <c r="M85" s="421"/>
      <c r="N85" s="422"/>
    </row>
    <row r="86" spans="1:14">
      <c r="A86" s="444"/>
      <c r="B86" s="444"/>
      <c r="C86" s="444"/>
      <c r="D86" s="444"/>
      <c r="E86" s="444"/>
      <c r="F86" s="444"/>
      <c r="G86" s="444"/>
      <c r="H86" s="444"/>
      <c r="I86" s="444"/>
      <c r="L86" s="420"/>
      <c r="M86" s="421"/>
      <c r="N86" s="422"/>
    </row>
    <row r="87" spans="1:14">
      <c r="A87" s="444"/>
      <c r="B87" s="444"/>
      <c r="C87" s="444"/>
      <c r="D87" s="444"/>
      <c r="E87" s="444"/>
      <c r="F87" s="444"/>
      <c r="G87" s="444"/>
      <c r="H87" s="444"/>
      <c r="I87" s="444"/>
      <c r="L87" s="420"/>
      <c r="M87" s="421"/>
      <c r="N87" s="422"/>
    </row>
    <row r="88" spans="1:14">
      <c r="A88" s="444"/>
      <c r="B88" s="444"/>
      <c r="C88" s="444"/>
      <c r="D88" s="444"/>
      <c r="E88" s="444"/>
      <c r="F88" s="444"/>
      <c r="G88" s="444"/>
      <c r="H88" s="444"/>
      <c r="I88" s="444"/>
      <c r="L88" s="420"/>
      <c r="M88" s="421"/>
      <c r="N88" s="422"/>
    </row>
    <row r="89" spans="1:14">
      <c r="A89" s="444"/>
      <c r="B89" s="444"/>
      <c r="C89" s="444"/>
      <c r="D89" s="444"/>
      <c r="E89" s="444"/>
      <c r="F89" s="444"/>
      <c r="G89" s="444"/>
      <c r="H89" s="444"/>
      <c r="I89" s="444"/>
      <c r="L89" s="420"/>
      <c r="M89" s="421"/>
      <c r="N89" s="422"/>
    </row>
    <row r="90" spans="1:14">
      <c r="A90" s="444"/>
      <c r="B90" s="444"/>
      <c r="C90" s="444"/>
      <c r="D90" s="444"/>
      <c r="E90" s="444"/>
      <c r="F90" s="444"/>
      <c r="G90" s="444"/>
      <c r="H90" s="444"/>
      <c r="I90" s="444"/>
      <c r="L90" s="420"/>
      <c r="M90" s="421"/>
      <c r="N90" s="422"/>
    </row>
    <row r="91" spans="1:14">
      <c r="A91" s="444"/>
      <c r="B91" s="444"/>
      <c r="C91" s="444"/>
      <c r="D91" s="444"/>
      <c r="E91" s="444"/>
      <c r="F91" s="444"/>
      <c r="G91" s="444"/>
      <c r="H91" s="444"/>
      <c r="I91" s="444"/>
      <c r="L91" s="420"/>
      <c r="M91" s="421"/>
      <c r="N91" s="422"/>
    </row>
    <row r="92" spans="1:14">
      <c r="A92" s="444"/>
      <c r="B92" s="444"/>
      <c r="C92" s="444"/>
      <c r="D92" s="444"/>
      <c r="E92" s="444"/>
      <c r="F92" s="444"/>
      <c r="G92" s="444"/>
      <c r="H92" s="444"/>
      <c r="I92" s="444"/>
      <c r="L92" s="420"/>
      <c r="M92" s="421"/>
      <c r="N92" s="422"/>
    </row>
    <row r="93" spans="1:14">
      <c r="A93" s="444"/>
      <c r="B93" s="444"/>
      <c r="C93" s="444"/>
      <c r="D93" s="444"/>
      <c r="E93" s="444"/>
      <c r="F93" s="444"/>
      <c r="G93" s="444"/>
      <c r="H93" s="444"/>
      <c r="I93" s="444"/>
      <c r="L93" s="420"/>
      <c r="M93" s="421"/>
      <c r="N93" s="422"/>
    </row>
    <row r="94" spans="1:14">
      <c r="A94" s="444"/>
      <c r="B94" s="444"/>
      <c r="C94" s="444"/>
      <c r="D94" s="444"/>
      <c r="E94" s="444"/>
      <c r="F94" s="444"/>
      <c r="G94" s="444"/>
      <c r="H94" s="444"/>
      <c r="I94" s="444"/>
      <c r="L94" s="420"/>
      <c r="M94" s="421"/>
      <c r="N94" s="422"/>
    </row>
    <row r="95" spans="1:14">
      <c r="A95" s="444"/>
      <c r="B95" s="444"/>
      <c r="C95" s="444"/>
      <c r="D95" s="444"/>
      <c r="E95" s="444"/>
      <c r="F95" s="444"/>
      <c r="G95" s="444"/>
      <c r="H95" s="444"/>
      <c r="I95" s="444"/>
      <c r="L95" s="420"/>
      <c r="M95" s="421"/>
      <c r="N95" s="422"/>
    </row>
    <row r="96" spans="1:14">
      <c r="A96" s="444"/>
      <c r="B96" s="444"/>
      <c r="C96" s="444"/>
      <c r="D96" s="444"/>
      <c r="E96" s="444"/>
      <c r="F96" s="444"/>
      <c r="G96" s="444"/>
      <c r="H96" s="444"/>
      <c r="I96" s="444"/>
      <c r="L96" s="420"/>
      <c r="M96" s="421"/>
      <c r="N96" s="422"/>
    </row>
    <row r="97" spans="1:14">
      <c r="A97" s="444"/>
      <c r="B97" s="444"/>
      <c r="C97" s="444"/>
      <c r="D97" s="444"/>
      <c r="E97" s="444"/>
      <c r="F97" s="444"/>
      <c r="G97" s="444"/>
      <c r="H97" s="444"/>
      <c r="I97" s="444"/>
      <c r="L97" s="420"/>
      <c r="M97" s="421"/>
      <c r="N97" s="422"/>
    </row>
    <row r="98" spans="1:14">
      <c r="A98" s="444"/>
      <c r="B98" s="444"/>
      <c r="C98" s="444"/>
      <c r="D98" s="444"/>
      <c r="E98" s="444"/>
      <c r="F98" s="444"/>
      <c r="G98" s="444"/>
      <c r="H98" s="444"/>
      <c r="I98" s="444"/>
      <c r="L98" s="420"/>
      <c r="M98" s="421"/>
      <c r="N98" s="422"/>
    </row>
    <row r="99" spans="1:14">
      <c r="A99" s="444"/>
      <c r="B99" s="444"/>
      <c r="C99" s="444"/>
      <c r="D99" s="444"/>
      <c r="E99" s="444"/>
      <c r="F99" s="444"/>
      <c r="G99" s="444"/>
      <c r="H99" s="444"/>
      <c r="I99" s="444"/>
      <c r="L99" s="420"/>
      <c r="M99" s="421"/>
      <c r="N99" s="422"/>
    </row>
    <row r="100" spans="1:14">
      <c r="A100" s="444"/>
      <c r="B100" s="444"/>
      <c r="C100" s="444"/>
      <c r="D100" s="444"/>
      <c r="E100" s="444"/>
      <c r="F100" s="444"/>
      <c r="G100" s="444"/>
      <c r="H100" s="444"/>
      <c r="I100" s="444"/>
      <c r="L100" s="420"/>
      <c r="M100" s="421"/>
      <c r="N100" s="422"/>
    </row>
    <row r="101" spans="1:14">
      <c r="A101" s="444"/>
      <c r="B101" s="444"/>
      <c r="C101" s="444"/>
      <c r="D101" s="444"/>
      <c r="E101" s="444"/>
      <c r="F101" s="444"/>
      <c r="G101" s="444"/>
      <c r="H101" s="444"/>
      <c r="I101" s="444"/>
      <c r="L101" s="420"/>
      <c r="M101" s="421"/>
      <c r="N101" s="422"/>
    </row>
    <row r="102" spans="1:14">
      <c r="A102" s="444"/>
      <c r="B102" s="444"/>
      <c r="C102" s="444"/>
      <c r="D102" s="444"/>
      <c r="E102" s="444"/>
      <c r="F102" s="444"/>
      <c r="G102" s="444"/>
      <c r="H102" s="444"/>
      <c r="I102" s="444"/>
      <c r="L102" s="420"/>
      <c r="M102" s="421"/>
      <c r="N102" s="422"/>
    </row>
    <row r="103" spans="1:14">
      <c r="A103" s="444"/>
      <c r="B103" s="444"/>
      <c r="C103" s="444"/>
      <c r="D103" s="444"/>
      <c r="E103" s="444"/>
      <c r="F103" s="444"/>
      <c r="G103" s="444"/>
      <c r="H103" s="444"/>
      <c r="I103" s="444"/>
      <c r="L103" s="420"/>
      <c r="M103" s="421"/>
      <c r="N103" s="422"/>
    </row>
    <row r="104" spans="1:14">
      <c r="A104" s="444"/>
      <c r="B104" s="444"/>
      <c r="C104" s="444"/>
      <c r="D104" s="444"/>
      <c r="E104" s="444"/>
      <c r="F104" s="444"/>
      <c r="G104" s="444"/>
      <c r="H104" s="444"/>
      <c r="I104" s="444"/>
      <c r="L104" s="420"/>
      <c r="M104" s="421"/>
      <c r="N104" s="422"/>
    </row>
    <row r="105" spans="1:14">
      <c r="A105" s="444"/>
      <c r="B105" s="444"/>
      <c r="C105" s="444"/>
      <c r="D105" s="444"/>
      <c r="E105" s="444"/>
      <c r="F105" s="444"/>
      <c r="G105" s="444"/>
      <c r="H105" s="444"/>
      <c r="I105" s="444"/>
      <c r="L105" s="420"/>
      <c r="M105" s="421"/>
      <c r="N105" s="422"/>
    </row>
    <row r="106" spans="1:14">
      <c r="A106" s="444"/>
      <c r="B106" s="444"/>
      <c r="C106" s="444"/>
      <c r="D106" s="444"/>
      <c r="E106" s="444"/>
      <c r="F106" s="444"/>
      <c r="G106" s="444"/>
      <c r="H106" s="444"/>
      <c r="I106" s="444"/>
      <c r="L106" s="420"/>
      <c r="M106" s="421"/>
      <c r="N106" s="422"/>
    </row>
    <row r="107" spans="1:14">
      <c r="A107" s="444"/>
      <c r="B107" s="444"/>
      <c r="C107" s="444"/>
      <c r="D107" s="444"/>
      <c r="E107" s="444"/>
      <c r="F107" s="444"/>
      <c r="G107" s="444"/>
      <c r="H107" s="444"/>
      <c r="I107" s="444"/>
      <c r="L107" s="420"/>
      <c r="M107" s="421"/>
      <c r="N107" s="422"/>
    </row>
    <row r="108" spans="1:14">
      <c r="A108" s="444"/>
      <c r="B108" s="444"/>
      <c r="C108" s="444"/>
      <c r="D108" s="444"/>
      <c r="E108" s="444"/>
      <c r="F108" s="444"/>
      <c r="G108" s="444"/>
      <c r="H108" s="444"/>
      <c r="I108" s="444"/>
      <c r="L108" s="420"/>
      <c r="M108" s="421"/>
      <c r="N108" s="422"/>
    </row>
    <row r="109" spans="1:14">
      <c r="A109" s="444"/>
      <c r="B109" s="444"/>
      <c r="C109" s="444"/>
      <c r="D109" s="444"/>
      <c r="E109" s="444"/>
      <c r="F109" s="444"/>
      <c r="G109" s="444"/>
      <c r="H109" s="444"/>
      <c r="I109" s="444"/>
      <c r="L109" s="420"/>
      <c r="M109" s="421"/>
      <c r="N109" s="422"/>
    </row>
    <row r="110" spans="1:14">
      <c r="A110" s="444"/>
      <c r="B110" s="444"/>
      <c r="C110" s="444"/>
      <c r="D110" s="444"/>
      <c r="E110" s="444"/>
      <c r="F110" s="444"/>
      <c r="G110" s="444"/>
      <c r="H110" s="444"/>
      <c r="I110" s="444"/>
      <c r="L110" s="420"/>
      <c r="M110" s="421"/>
      <c r="N110" s="422"/>
    </row>
    <row r="111" spans="1:14">
      <c r="A111" s="444"/>
      <c r="B111" s="444"/>
      <c r="C111" s="444"/>
      <c r="D111" s="444"/>
      <c r="E111" s="444"/>
      <c r="F111" s="444"/>
      <c r="G111" s="444"/>
      <c r="H111" s="444"/>
      <c r="I111" s="444"/>
      <c r="L111" s="420"/>
      <c r="M111" s="421"/>
      <c r="N111" s="422"/>
    </row>
    <row r="112" spans="1:14">
      <c r="A112" s="444"/>
      <c r="B112" s="444"/>
      <c r="C112" s="444"/>
      <c r="D112" s="444"/>
      <c r="E112" s="444"/>
      <c r="F112" s="444"/>
      <c r="G112" s="444"/>
      <c r="H112" s="444"/>
      <c r="I112" s="444"/>
      <c r="L112" s="420"/>
      <c r="M112" s="421"/>
      <c r="N112" s="422"/>
    </row>
    <row r="113" spans="1:14">
      <c r="A113" s="444"/>
      <c r="B113" s="444"/>
      <c r="C113" s="444"/>
      <c r="D113" s="444"/>
      <c r="E113" s="444"/>
      <c r="F113" s="444"/>
      <c r="G113" s="444"/>
      <c r="H113" s="444"/>
      <c r="I113" s="444"/>
      <c r="L113" s="420"/>
      <c r="M113" s="421"/>
      <c r="N113" s="422"/>
    </row>
    <row r="114" spans="1:14">
      <c r="A114" s="444"/>
      <c r="B114" s="444"/>
      <c r="C114" s="444"/>
      <c r="D114" s="444"/>
      <c r="E114" s="444"/>
      <c r="F114" s="444"/>
      <c r="G114" s="444"/>
      <c r="H114" s="444"/>
      <c r="I114" s="444"/>
      <c r="L114" s="420"/>
      <c r="M114" s="421"/>
      <c r="N114" s="422"/>
    </row>
    <row r="115" spans="1:14">
      <c r="A115" s="444"/>
      <c r="B115" s="444"/>
      <c r="C115" s="444"/>
      <c r="D115" s="444"/>
      <c r="E115" s="444"/>
      <c r="F115" s="444"/>
      <c r="G115" s="444"/>
      <c r="H115" s="444"/>
      <c r="I115" s="444"/>
      <c r="L115" s="420"/>
      <c r="M115" s="421"/>
      <c r="N115" s="422"/>
    </row>
    <row r="116" spans="1:14">
      <c r="A116" s="444"/>
      <c r="B116" s="444"/>
      <c r="C116" s="444"/>
      <c r="D116" s="444"/>
      <c r="E116" s="444"/>
      <c r="F116" s="444"/>
      <c r="G116" s="444"/>
      <c r="H116" s="444"/>
      <c r="I116" s="444"/>
      <c r="L116" s="420"/>
      <c r="M116" s="421"/>
      <c r="N116" s="422"/>
    </row>
    <row r="117" spans="1:14">
      <c r="A117" s="444"/>
      <c r="B117" s="444"/>
      <c r="C117" s="444"/>
      <c r="D117" s="444"/>
      <c r="E117" s="444"/>
      <c r="F117" s="444"/>
      <c r="G117" s="444"/>
      <c r="H117" s="444"/>
      <c r="I117" s="444"/>
      <c r="L117" s="420"/>
      <c r="M117" s="421"/>
      <c r="N117" s="422"/>
    </row>
    <row r="118" spans="1:14">
      <c r="A118" s="444"/>
      <c r="B118" s="444"/>
      <c r="C118" s="444"/>
      <c r="D118" s="444"/>
      <c r="E118" s="444"/>
      <c r="F118" s="444"/>
      <c r="G118" s="444"/>
      <c r="H118" s="444"/>
      <c r="I118" s="444"/>
      <c r="L118" s="420"/>
      <c r="M118" s="421"/>
      <c r="N118" s="422"/>
    </row>
    <row r="119" spans="1:14">
      <c r="A119" s="444"/>
      <c r="B119" s="444"/>
      <c r="C119" s="444"/>
      <c r="D119" s="444"/>
      <c r="E119" s="444"/>
      <c r="F119" s="444"/>
      <c r="G119" s="444"/>
      <c r="H119" s="444"/>
      <c r="I119" s="444"/>
      <c r="L119" s="420"/>
      <c r="M119" s="421"/>
      <c r="N119" s="422"/>
    </row>
    <row r="120" spans="1:14">
      <c r="A120" s="444"/>
      <c r="B120" s="444"/>
      <c r="C120" s="444"/>
      <c r="D120" s="444"/>
      <c r="E120" s="444"/>
      <c r="F120" s="444"/>
      <c r="G120" s="444"/>
      <c r="H120" s="444"/>
      <c r="I120" s="444"/>
      <c r="L120" s="420"/>
      <c r="M120" s="421"/>
      <c r="N120" s="422"/>
    </row>
    <row r="121" spans="1:14">
      <c r="A121" s="444"/>
      <c r="B121" s="444"/>
      <c r="C121" s="444"/>
      <c r="D121" s="444"/>
      <c r="E121" s="444"/>
      <c r="F121" s="444"/>
      <c r="G121" s="444"/>
      <c r="H121" s="444"/>
      <c r="I121" s="444"/>
      <c r="L121" s="420"/>
      <c r="M121" s="421"/>
      <c r="N121" s="422"/>
    </row>
    <row r="122" spans="1:14">
      <c r="A122" s="444"/>
      <c r="B122" s="444"/>
      <c r="C122" s="444"/>
      <c r="D122" s="444"/>
      <c r="E122" s="444"/>
      <c r="F122" s="444"/>
      <c r="G122" s="444"/>
      <c r="H122" s="444"/>
      <c r="I122" s="444"/>
      <c r="L122" s="420"/>
      <c r="M122" s="421"/>
      <c r="N122" s="422"/>
    </row>
    <row r="123" spans="1:14">
      <c r="A123" s="444"/>
      <c r="B123" s="444"/>
      <c r="C123" s="444"/>
      <c r="D123" s="444"/>
      <c r="E123" s="444"/>
      <c r="F123" s="444"/>
      <c r="G123" s="444"/>
      <c r="H123" s="444"/>
      <c r="I123" s="444"/>
      <c r="L123" s="420"/>
      <c r="M123" s="421"/>
      <c r="N123" s="422"/>
    </row>
    <row r="124" spans="1:14">
      <c r="A124" s="444"/>
      <c r="B124" s="444"/>
      <c r="C124" s="444"/>
      <c r="D124" s="444"/>
      <c r="E124" s="444"/>
      <c r="F124" s="444"/>
      <c r="G124" s="444"/>
      <c r="H124" s="444"/>
      <c r="I124" s="444"/>
      <c r="L124" s="420"/>
      <c r="M124" s="421"/>
      <c r="N124" s="422"/>
    </row>
    <row r="125" spans="1:14">
      <c r="A125" s="444"/>
      <c r="B125" s="444"/>
      <c r="C125" s="444"/>
      <c r="D125" s="444"/>
      <c r="E125" s="444"/>
      <c r="F125" s="444"/>
      <c r="G125" s="444"/>
      <c r="H125" s="444"/>
      <c r="I125" s="444"/>
      <c r="L125" s="420"/>
      <c r="M125" s="421"/>
      <c r="N125" s="422"/>
    </row>
    <row r="126" spans="1:14">
      <c r="A126" s="444"/>
      <c r="B126" s="444"/>
      <c r="C126" s="444"/>
      <c r="D126" s="444"/>
      <c r="E126" s="444"/>
      <c r="F126" s="444"/>
      <c r="G126" s="444"/>
      <c r="H126" s="444"/>
      <c r="I126" s="444"/>
      <c r="L126" s="420"/>
      <c r="M126" s="421"/>
      <c r="N126" s="422"/>
    </row>
    <row r="127" spans="1:14">
      <c r="A127" s="444"/>
      <c r="B127" s="444"/>
      <c r="C127" s="444"/>
      <c r="D127" s="444"/>
      <c r="E127" s="444"/>
      <c r="F127" s="444"/>
      <c r="G127" s="444"/>
      <c r="H127" s="444"/>
      <c r="I127" s="444"/>
      <c r="L127" s="420"/>
      <c r="M127" s="421"/>
      <c r="N127" s="422"/>
    </row>
    <row r="128" spans="1:14">
      <c r="A128" s="444"/>
      <c r="B128" s="444"/>
      <c r="C128" s="444"/>
      <c r="D128" s="444"/>
      <c r="E128" s="444"/>
      <c r="F128" s="444"/>
      <c r="G128" s="444"/>
      <c r="H128" s="444"/>
      <c r="I128" s="444"/>
      <c r="L128" s="420"/>
      <c r="M128" s="421"/>
      <c r="N128" s="422"/>
    </row>
    <row r="129" spans="1:14">
      <c r="A129" s="444"/>
      <c r="B129" s="444"/>
      <c r="C129" s="444"/>
      <c r="D129" s="444"/>
      <c r="E129" s="444"/>
      <c r="F129" s="444"/>
      <c r="G129" s="444"/>
      <c r="H129" s="444"/>
      <c r="I129" s="444"/>
      <c r="L129" s="420"/>
      <c r="M129" s="421"/>
      <c r="N129" s="422"/>
    </row>
    <row r="130" spans="1:14">
      <c r="A130" s="444"/>
      <c r="B130" s="444"/>
      <c r="C130" s="444"/>
      <c r="D130" s="444"/>
      <c r="E130" s="444"/>
      <c r="F130" s="444"/>
      <c r="G130" s="444"/>
      <c r="H130" s="444"/>
      <c r="I130" s="444"/>
      <c r="L130" s="420"/>
      <c r="M130" s="421"/>
      <c r="N130" s="422"/>
    </row>
    <row r="131" spans="1:14">
      <c r="A131" s="444"/>
      <c r="B131" s="444"/>
      <c r="C131" s="444"/>
      <c r="D131" s="444"/>
      <c r="E131" s="444"/>
      <c r="F131" s="444"/>
      <c r="G131" s="444"/>
      <c r="H131" s="444"/>
      <c r="I131" s="444"/>
      <c r="L131" s="420"/>
      <c r="M131" s="421"/>
      <c r="N131" s="422"/>
    </row>
    <row r="132" spans="1:14">
      <c r="A132" s="444"/>
      <c r="B132" s="444"/>
      <c r="C132" s="444"/>
      <c r="D132" s="444"/>
      <c r="E132" s="444"/>
      <c r="F132" s="444"/>
      <c r="G132" s="444"/>
      <c r="H132" s="444"/>
      <c r="I132" s="444"/>
      <c r="L132" s="420"/>
      <c r="M132" s="421"/>
      <c r="N132" s="422"/>
    </row>
    <row r="133" spans="1:14">
      <c r="A133" s="444"/>
      <c r="B133" s="444"/>
      <c r="C133" s="444"/>
      <c r="D133" s="444"/>
      <c r="E133" s="444"/>
      <c r="F133" s="444"/>
      <c r="G133" s="444"/>
      <c r="H133" s="444"/>
      <c r="I133" s="444"/>
      <c r="L133" s="420"/>
      <c r="M133" s="421"/>
      <c r="N133" s="422"/>
    </row>
    <row r="134" spans="1:14">
      <c r="A134" s="444"/>
      <c r="B134" s="444"/>
      <c r="C134" s="444"/>
      <c r="D134" s="444"/>
      <c r="E134" s="444"/>
      <c r="F134" s="444"/>
      <c r="G134" s="444"/>
      <c r="H134" s="444"/>
      <c r="I134" s="444"/>
      <c r="L134" s="420"/>
      <c r="M134" s="421"/>
      <c r="N134" s="422"/>
    </row>
    <row r="135" spans="1:14">
      <c r="A135" s="444"/>
      <c r="B135" s="444"/>
      <c r="C135" s="444"/>
      <c r="D135" s="444"/>
      <c r="E135" s="444"/>
      <c r="F135" s="444"/>
      <c r="G135" s="444"/>
      <c r="H135" s="444"/>
      <c r="I135" s="444"/>
      <c r="L135" s="420"/>
      <c r="M135" s="421"/>
      <c r="N135" s="422"/>
    </row>
    <row r="136" spans="1:14">
      <c r="A136" s="444"/>
      <c r="B136" s="444"/>
      <c r="C136" s="444"/>
      <c r="D136" s="444"/>
      <c r="E136" s="444"/>
      <c r="F136" s="444"/>
      <c r="G136" s="444"/>
      <c r="H136" s="444"/>
      <c r="I136" s="444"/>
      <c r="L136" s="420"/>
      <c r="M136" s="421"/>
      <c r="N136" s="422"/>
    </row>
    <row r="137" spans="1:14">
      <c r="A137" s="444"/>
      <c r="B137" s="444"/>
      <c r="C137" s="444"/>
      <c r="D137" s="444"/>
      <c r="E137" s="444"/>
      <c r="F137" s="444"/>
      <c r="G137" s="444"/>
      <c r="H137" s="444"/>
      <c r="I137" s="444"/>
      <c r="L137" s="420"/>
      <c r="M137" s="421"/>
      <c r="N137" s="422"/>
    </row>
    <row r="138" spans="1:14">
      <c r="A138" s="444"/>
      <c r="B138" s="444"/>
      <c r="C138" s="444"/>
      <c r="D138" s="444"/>
      <c r="E138" s="444"/>
      <c r="F138" s="444"/>
      <c r="G138" s="444"/>
      <c r="H138" s="444"/>
      <c r="I138" s="444"/>
      <c r="L138" s="420"/>
      <c r="M138" s="421"/>
      <c r="N138" s="422"/>
    </row>
    <row r="139" spans="1:14">
      <c r="L139" s="420"/>
      <c r="M139" s="421"/>
      <c r="N139" s="422"/>
    </row>
    <row r="140" spans="1:14">
      <c r="L140" s="420"/>
      <c r="M140" s="421"/>
      <c r="N140" s="422"/>
    </row>
    <row r="141" spans="1:14">
      <c r="L141" s="420"/>
      <c r="M141" s="421"/>
      <c r="N141" s="422"/>
    </row>
    <row r="142" spans="1:14">
      <c r="L142" s="420"/>
      <c r="M142" s="421"/>
      <c r="N142" s="422"/>
    </row>
    <row r="143" spans="1:14">
      <c r="L143" s="420"/>
      <c r="M143" s="421"/>
      <c r="N143" s="422"/>
    </row>
    <row r="144" spans="1:14">
      <c r="L144" s="420"/>
      <c r="M144" s="421"/>
      <c r="N144" s="422"/>
    </row>
    <row r="145" spans="12:14">
      <c r="L145" s="420"/>
      <c r="M145" s="421"/>
      <c r="N145" s="422"/>
    </row>
    <row r="146" spans="12:14">
      <c r="L146" s="420"/>
      <c r="M146" s="421"/>
      <c r="N146" s="422"/>
    </row>
    <row r="147" spans="12:14">
      <c r="L147" s="420"/>
      <c r="M147" s="421"/>
      <c r="N147" s="422"/>
    </row>
    <row r="148" spans="12:14">
      <c r="L148" s="420"/>
      <c r="M148" s="421"/>
      <c r="N148" s="422"/>
    </row>
    <row r="149" spans="12:14">
      <c r="L149" s="420"/>
      <c r="M149" s="421"/>
      <c r="N149" s="422"/>
    </row>
    <row r="150" spans="12:14">
      <c r="L150" s="420"/>
      <c r="M150" s="421"/>
      <c r="N150" s="422"/>
    </row>
    <row r="151" spans="12:14">
      <c r="L151" s="420"/>
      <c r="M151" s="421"/>
      <c r="N151" s="422"/>
    </row>
    <row r="152" spans="12:14">
      <c r="L152" s="420"/>
      <c r="M152" s="421"/>
      <c r="N152" s="422"/>
    </row>
    <row r="153" spans="12:14">
      <c r="L153" s="420"/>
      <c r="M153" s="421"/>
      <c r="N153" s="422"/>
    </row>
    <row r="154" spans="12:14">
      <c r="L154" s="420"/>
      <c r="M154" s="421"/>
      <c r="N154" s="422"/>
    </row>
    <row r="155" spans="12:14">
      <c r="L155" s="420"/>
      <c r="M155" s="421"/>
      <c r="N155" s="422"/>
    </row>
    <row r="156" spans="12:14">
      <c r="L156" s="420"/>
      <c r="M156" s="421"/>
      <c r="N156" s="422"/>
    </row>
    <row r="157" spans="12:14">
      <c r="L157" s="420"/>
      <c r="M157" s="421"/>
      <c r="N157" s="422"/>
    </row>
    <row r="158" spans="12:14">
      <c r="L158" s="420"/>
      <c r="M158" s="421"/>
      <c r="N158" s="422"/>
    </row>
    <row r="159" spans="12:14">
      <c r="L159" s="420"/>
      <c r="M159" s="421"/>
      <c r="N159" s="422"/>
    </row>
    <row r="160" spans="12:14">
      <c r="L160" s="420"/>
      <c r="M160" s="421"/>
      <c r="N160" s="422"/>
    </row>
    <row r="161" spans="12:14">
      <c r="L161" s="420"/>
      <c r="M161" s="421"/>
      <c r="N161" s="422"/>
    </row>
    <row r="162" spans="12:14">
      <c r="L162" s="420"/>
      <c r="M162" s="421"/>
      <c r="N162" s="422"/>
    </row>
    <row r="163" spans="12:14">
      <c r="L163" s="420"/>
      <c r="M163" s="421"/>
      <c r="N163" s="422"/>
    </row>
    <row r="164" spans="12:14">
      <c r="L164" s="420"/>
      <c r="M164" s="421"/>
      <c r="N164" s="422"/>
    </row>
    <row r="165" spans="12:14">
      <c r="L165" s="420"/>
      <c r="M165" s="421"/>
      <c r="N165" s="422"/>
    </row>
    <row r="166" spans="12:14">
      <c r="L166" s="420"/>
      <c r="M166" s="421"/>
      <c r="N166" s="422"/>
    </row>
    <row r="167" spans="12:14">
      <c r="L167" s="420"/>
      <c r="M167" s="421"/>
      <c r="N167" s="422"/>
    </row>
    <row r="168" spans="12:14">
      <c r="L168" s="420"/>
      <c r="M168" s="421"/>
      <c r="N168" s="422"/>
    </row>
    <row r="169" spans="12:14">
      <c r="L169" s="420"/>
      <c r="M169" s="421"/>
      <c r="N169" s="422"/>
    </row>
    <row r="170" spans="12:14">
      <c r="L170" s="420"/>
      <c r="M170" s="421"/>
      <c r="N170" s="422"/>
    </row>
    <row r="171" spans="12:14">
      <c r="L171" s="420"/>
      <c r="M171" s="421"/>
      <c r="N171" s="422"/>
    </row>
    <row r="172" spans="12:14">
      <c r="L172" s="420"/>
      <c r="M172" s="421"/>
      <c r="N172" s="422"/>
    </row>
    <row r="173" spans="12:14">
      <c r="L173" s="420"/>
      <c r="M173" s="421"/>
      <c r="N173" s="422"/>
    </row>
    <row r="174" spans="12:14">
      <c r="L174" s="420"/>
      <c r="M174" s="421"/>
      <c r="N174" s="422"/>
    </row>
    <row r="175" spans="12:14">
      <c r="L175" s="420"/>
      <c r="M175" s="421"/>
      <c r="N175" s="422"/>
    </row>
    <row r="176" spans="12:14">
      <c r="L176" s="420"/>
      <c r="M176" s="421"/>
      <c r="N176" s="422"/>
    </row>
    <row r="177" spans="12:14">
      <c r="L177" s="420"/>
      <c r="M177" s="421"/>
      <c r="N177" s="422"/>
    </row>
    <row r="178" spans="12:14">
      <c r="L178" s="420"/>
      <c r="M178" s="421"/>
      <c r="N178" s="422"/>
    </row>
    <row r="179" spans="12:14">
      <c r="L179" s="420"/>
      <c r="M179" s="421"/>
      <c r="N179" s="422"/>
    </row>
    <row r="180" spans="12:14">
      <c r="L180" s="420"/>
      <c r="M180" s="421"/>
      <c r="N180" s="422"/>
    </row>
    <row r="181" spans="12:14">
      <c r="L181" s="420"/>
      <c r="M181" s="421"/>
      <c r="N181" s="422"/>
    </row>
  </sheetData>
  <mergeCells count="7">
    <mergeCell ref="F56:G56"/>
    <mergeCell ref="E9:F10"/>
    <mergeCell ref="E8:I8"/>
    <mergeCell ref="E24:I24"/>
    <mergeCell ref="E26:I26"/>
    <mergeCell ref="F41:G41"/>
    <mergeCell ref="F48:G48"/>
  </mergeCells>
  <pageMargins left="0.75" right="0.75" top="1" bottom="1" header="0.5" footer="0.5"/>
  <pageSetup scale="4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3"/>
  </sheetPr>
  <dimension ref="A7:AD64"/>
  <sheetViews>
    <sheetView topLeftCell="E8" zoomScale="55" zoomScaleNormal="55" zoomScaleSheetLayoutView="70" workbookViewId="0">
      <selection activeCell="L22" sqref="L22"/>
    </sheetView>
  </sheetViews>
  <sheetFormatPr defaultRowHeight="23.5" outlineLevelRow="1" outlineLevelCol="1"/>
  <cols>
    <col min="1" max="4" width="9.1796875" style="339" hidden="1" customWidth="1" outlineLevel="1"/>
    <col min="5" max="5" width="92" style="339" customWidth="1" collapsed="1"/>
    <col min="6" max="6" width="37.81640625" style="339" bestFit="1" customWidth="1"/>
    <col min="7" max="7" width="35.54296875" style="339" bestFit="1" customWidth="1"/>
    <col min="8" max="8" width="25.1796875" style="339" customWidth="1"/>
    <col min="9" max="9" width="24.453125" style="339" customWidth="1"/>
    <col min="10" max="10" width="3.453125" style="339" customWidth="1"/>
    <col min="11" max="11" width="1.26953125" style="339" customWidth="1"/>
    <col min="12" max="12" width="24.26953125" style="388" bestFit="1" customWidth="1"/>
    <col min="13" max="13" width="24.7265625" style="389" customWidth="1"/>
    <col min="14" max="14" width="32.453125" style="402" customWidth="1"/>
    <col min="15" max="15" width="18.453125" style="339" customWidth="1"/>
    <col min="16" max="16" width="15.1796875" style="339" customWidth="1"/>
    <col min="17" max="30" width="9.1796875" style="339"/>
  </cols>
  <sheetData>
    <row r="7" spans="1:30" ht="24" thickBot="1"/>
    <row r="8" spans="1:30" s="152" customFormat="1" ht="46">
      <c r="A8" s="357"/>
      <c r="B8" s="357"/>
      <c r="C8" s="357"/>
      <c r="D8" s="357"/>
      <c r="E8" s="655" t="s">
        <v>338</v>
      </c>
      <c r="F8" s="656"/>
      <c r="G8" s="656"/>
      <c r="H8" s="656"/>
      <c r="I8" s="657"/>
      <c r="J8" s="357"/>
      <c r="K8" s="357"/>
      <c r="L8" s="390"/>
      <c r="M8" s="391"/>
      <c r="N8" s="403" t="s">
        <v>58</v>
      </c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  <c r="AA8" s="357"/>
      <c r="AB8" s="357"/>
      <c r="AC8" s="357"/>
      <c r="AD8" s="357"/>
    </row>
    <row r="9" spans="1:30" ht="29" thickBot="1">
      <c r="E9" s="340"/>
      <c r="I9" s="341"/>
      <c r="N9" s="413" t="s">
        <v>376</v>
      </c>
    </row>
    <row r="10" spans="1:30" ht="34.5" customHeight="1" thickBot="1">
      <c r="E10" s="340"/>
      <c r="I10" s="341"/>
      <c r="L10" s="407" t="s">
        <v>375</v>
      </c>
      <c r="M10" s="408">
        <f>F37</f>
        <v>9000</v>
      </c>
      <c r="N10" s="409" t="str">
        <f>IF(F36&lt;F34,"BASED ON IGIR","BASED ON NTHP")</f>
        <v>BASED ON IGIR</v>
      </c>
    </row>
    <row r="11" spans="1:30" ht="34" thickBot="1">
      <c r="E11" s="405" t="s">
        <v>374</v>
      </c>
      <c r="F11" s="406">
        <v>0</v>
      </c>
      <c r="I11" s="341"/>
      <c r="N11" s="413" t="s">
        <v>378</v>
      </c>
    </row>
    <row r="12" spans="1:30" ht="34" thickBot="1">
      <c r="E12" s="358" t="s">
        <v>333</v>
      </c>
      <c r="F12" s="360">
        <v>30000</v>
      </c>
      <c r="G12" s="349"/>
      <c r="H12" s="349"/>
      <c r="I12" s="350"/>
      <c r="L12" s="400" t="s">
        <v>371</v>
      </c>
      <c r="M12" s="399">
        <v>800000</v>
      </c>
      <c r="N12" s="415">
        <f>(0.97912334*M12-F14)</f>
        <v>783298.67200000002</v>
      </c>
      <c r="O12" s="404"/>
    </row>
    <row r="13" spans="1:30" ht="34" thickBot="1">
      <c r="E13" s="358" t="s">
        <v>345</v>
      </c>
      <c r="F13" s="360">
        <v>25000</v>
      </c>
      <c r="G13" s="349"/>
      <c r="H13" s="349"/>
      <c r="I13" s="350"/>
      <c r="L13" s="392" t="s">
        <v>336</v>
      </c>
      <c r="M13" s="393" t="s">
        <v>372</v>
      </c>
      <c r="N13" s="413" t="s">
        <v>377</v>
      </c>
    </row>
    <row r="14" spans="1:30" ht="34" thickBot="1">
      <c r="E14" s="358" t="s">
        <v>334</v>
      </c>
      <c r="F14" s="360">
        <v>0</v>
      </c>
      <c r="G14" s="349"/>
      <c r="H14" s="349"/>
      <c r="I14" s="350"/>
      <c r="L14" s="394" t="s">
        <v>339</v>
      </c>
      <c r="M14" s="410">
        <f>-PMT(F18/12,48,M12)</f>
        <v>22264.598613180999</v>
      </c>
      <c r="N14" s="411" t="str">
        <f>IF(M14&gt;$M$10,"CANNOT BE","OK")</f>
        <v>CANNOT BE</v>
      </c>
    </row>
    <row r="15" spans="1:30" ht="34" thickBot="1">
      <c r="E15" s="358" t="s">
        <v>335</v>
      </c>
      <c r="F15" s="360">
        <v>0</v>
      </c>
      <c r="G15" s="349"/>
      <c r="H15" s="349"/>
      <c r="I15" s="350"/>
      <c r="L15" s="395" t="s">
        <v>340</v>
      </c>
      <c r="M15" s="412">
        <f>-PMT(G18/12,36,M12)</f>
        <v>26571.447850280954</v>
      </c>
      <c r="N15" s="411" t="str">
        <f>IF(M15&gt;$M$10,"CANNOT BE","OK")</f>
        <v>CANNOT BE</v>
      </c>
    </row>
    <row r="16" spans="1:30" ht="34" thickBot="1">
      <c r="E16" s="348"/>
      <c r="F16" s="351"/>
      <c r="G16" s="349"/>
      <c r="H16" s="349"/>
      <c r="I16" s="350"/>
      <c r="L16" s="394" t="s">
        <v>341</v>
      </c>
      <c r="M16" s="410">
        <f>-PMT(H18/12,24,M12)</f>
        <v>37658.777778611759</v>
      </c>
      <c r="N16" s="411" t="str">
        <f>IF(M16&gt;$M$10,"CANNOT BE","OK")</f>
        <v>CANNOT BE</v>
      </c>
    </row>
    <row r="17" spans="5:14" ht="29" thickBot="1">
      <c r="E17" s="359" t="s">
        <v>336</v>
      </c>
      <c r="F17" s="361" t="s">
        <v>339</v>
      </c>
      <c r="G17" s="361" t="s">
        <v>340</v>
      </c>
      <c r="H17" s="361" t="s">
        <v>341</v>
      </c>
      <c r="I17" s="363" t="s">
        <v>342</v>
      </c>
      <c r="L17" s="395" t="s">
        <v>342</v>
      </c>
      <c r="M17" s="412">
        <f>-PMT(I18/12,12,M12)</f>
        <v>71079.030942673344</v>
      </c>
      <c r="N17" s="411" t="str">
        <f>IF(M17&gt;$M$10,"CANNOT BE","OK")</f>
        <v>CANNOT BE</v>
      </c>
    </row>
    <row r="18" spans="5:14" ht="29" thickBot="1">
      <c r="E18" s="359" t="s">
        <v>357</v>
      </c>
      <c r="F18" s="373">
        <v>0.15</v>
      </c>
      <c r="G18" s="373">
        <v>0.12</v>
      </c>
      <c r="H18" s="373">
        <v>0.12</v>
      </c>
      <c r="I18" s="373">
        <v>0.12</v>
      </c>
      <c r="L18" s="396"/>
      <c r="M18" s="397"/>
    </row>
    <row r="19" spans="5:14" ht="29" thickBot="1">
      <c r="E19" s="359" t="s">
        <v>346</v>
      </c>
      <c r="F19" s="362">
        <f>ROUNDDOWN(-PV(F18/12,48,F37),-2)</f>
        <v>323300</v>
      </c>
      <c r="G19" s="362">
        <f>ROUNDDOWN(-PV(G18/12,36,F37),-2)</f>
        <v>270900</v>
      </c>
      <c r="H19" s="362">
        <f>ROUNDDOWN(-PV(H18/12,24,F37),-2)</f>
        <v>191100</v>
      </c>
      <c r="I19" s="362">
        <f>ROUNDDOWN(-PV(I18/12,12,F37),-2)</f>
        <v>101200</v>
      </c>
      <c r="L19" s="401" t="s">
        <v>372</v>
      </c>
      <c r="M19" s="399">
        <v>15000</v>
      </c>
    </row>
    <row r="20" spans="5:14" ht="29" thickBot="1">
      <c r="E20" s="359" t="s">
        <v>337</v>
      </c>
      <c r="F20" s="374">
        <f>-PMT(F18/12,48,F19)</f>
        <v>8997.6809145517709</v>
      </c>
      <c r="G20" s="374">
        <f>-PMT(G18/12,36,G19)</f>
        <v>8997.7565283013864</v>
      </c>
      <c r="H20" s="374">
        <f>-PMT(H18/12,24,H19)</f>
        <v>8995.7405418658855</v>
      </c>
      <c r="I20" s="374">
        <f>-PMT(I18/12,12,I19)</f>
        <v>8991.4974142481788</v>
      </c>
      <c r="L20" s="392" t="s">
        <v>336</v>
      </c>
      <c r="M20" s="398" t="s">
        <v>373</v>
      </c>
      <c r="N20" s="413" t="s">
        <v>378</v>
      </c>
    </row>
    <row r="21" spans="5:14" ht="29" thickBot="1">
      <c r="E21" s="359" t="s">
        <v>343</v>
      </c>
      <c r="F21" s="362">
        <f>F19-F14-F31</f>
        <v>316336.23</v>
      </c>
      <c r="G21" s="362">
        <f>G19-F14-G31</f>
        <v>265596.56400000001</v>
      </c>
      <c r="H21" s="362">
        <f>H19-F14-H31</f>
        <v>188342.56200000001</v>
      </c>
      <c r="I21" s="362">
        <f>I19-F14-I31</f>
        <v>99646.58</v>
      </c>
      <c r="L21" s="394" t="s">
        <v>339</v>
      </c>
      <c r="M21" s="410">
        <f>-PV(F18/12,48,M19)</f>
        <v>538972.21362417925</v>
      </c>
      <c r="N21" s="414">
        <f>(M21*0.97912334)-$F$14</f>
        <v>527720.27397089987</v>
      </c>
    </row>
    <row r="22" spans="5:14" ht="29" thickBot="1">
      <c r="E22" s="359" t="s">
        <v>344</v>
      </c>
      <c r="F22" s="375">
        <f>$F$13-F20+$F$15</f>
        <v>16002.319085448229</v>
      </c>
      <c r="G22" s="375">
        <f>$F$13-G20+$F$15</f>
        <v>16002.243471698614</v>
      </c>
      <c r="H22" s="375">
        <f>$F$13-H20+$F$15</f>
        <v>16004.259458134115</v>
      </c>
      <c r="I22" s="375">
        <f>$F$13-I20+$F$15</f>
        <v>16008.502585751821</v>
      </c>
      <c r="L22" s="395" t="s">
        <v>340</v>
      </c>
      <c r="M22" s="412">
        <f>-PV(G18/12,36,M19)</f>
        <v>451612.57555911195</v>
      </c>
      <c r="N22" s="414">
        <f>(M22*0.97912334)-$F$14</f>
        <v>442184.41336744005</v>
      </c>
    </row>
    <row r="23" spans="5:14" ht="29" thickBot="1">
      <c r="E23" s="352"/>
      <c r="F23" s="371"/>
      <c r="G23" s="371"/>
      <c r="H23" s="371"/>
      <c r="I23" s="372"/>
      <c r="L23" s="394" t="s">
        <v>341</v>
      </c>
      <c r="M23" s="410">
        <f>-PV(H18/12,24,M19)</f>
        <v>318650.80886441818</v>
      </c>
      <c r="N23" s="414">
        <f>(M23*0.97912334)-$F$14</f>
        <v>311998.44426903076</v>
      </c>
    </row>
    <row r="24" spans="5:14" ht="38.25" customHeight="1" thickBot="1">
      <c r="E24" s="636" t="s">
        <v>367</v>
      </c>
      <c r="F24" s="637"/>
      <c r="G24" s="637"/>
      <c r="H24" s="637"/>
      <c r="I24" s="638"/>
      <c r="L24" s="395" t="s">
        <v>342</v>
      </c>
      <c r="M24" s="412">
        <f>-PV(I18/12,12,M19)</f>
        <v>168826.1621022695</v>
      </c>
      <c r="N24" s="414">
        <f>(M24*0.97912334)-$F$14</f>
        <v>165301.63571695553</v>
      </c>
    </row>
    <row r="25" spans="5:14" ht="28.5">
      <c r="E25" s="376"/>
      <c r="F25" s="371"/>
      <c r="G25" s="371"/>
      <c r="I25" s="416" t="s">
        <v>369</v>
      </c>
    </row>
    <row r="26" spans="5:14" ht="28.5" hidden="1" outlineLevel="1">
      <c r="E26" s="662" t="s">
        <v>368</v>
      </c>
      <c r="F26" s="663"/>
      <c r="G26" s="663"/>
      <c r="H26" s="663"/>
      <c r="I26" s="664"/>
    </row>
    <row r="27" spans="5:14" hidden="1" outlineLevel="1">
      <c r="E27" s="340"/>
      <c r="F27" s="353"/>
      <c r="G27" s="353"/>
      <c r="H27" s="353"/>
      <c r="I27" s="354"/>
    </row>
    <row r="28" spans="5:14" hidden="1" outlineLevel="1">
      <c r="E28" s="367" t="s">
        <v>365</v>
      </c>
      <c r="F28" s="368">
        <f>IF(F19*1%&lt;1500,F19*1%,1500)</f>
        <v>1500</v>
      </c>
      <c r="G28" s="368">
        <f>IF(G19*1%&lt;1500,G19*1%,1500)</f>
        <v>1500</v>
      </c>
      <c r="H28" s="368">
        <f>IF(H19*1%&lt;1500,H19*1%,1500)</f>
        <v>1500</v>
      </c>
      <c r="I28" s="379">
        <f>IF(I19*1%&lt;1500,I19*1%,1500)</f>
        <v>1012</v>
      </c>
    </row>
    <row r="29" spans="5:14" hidden="1" outlineLevel="1">
      <c r="E29" s="367" t="s">
        <v>366</v>
      </c>
      <c r="F29" s="368">
        <f>IF(F19&lt;250000,0,F19/200)</f>
        <v>1616.5</v>
      </c>
      <c r="G29" s="368">
        <f>IF(G19&lt;250000,0,G19/200)</f>
        <v>1354.5</v>
      </c>
      <c r="H29" s="368">
        <f>IF(H19&lt;250000,0,H19/200)</f>
        <v>0</v>
      </c>
      <c r="I29" s="379">
        <f>IF(I19&lt;250000,0,I19/200)</f>
        <v>0</v>
      </c>
    </row>
    <row r="30" spans="5:14" hidden="1" outlineLevel="1">
      <c r="E30" s="367" t="s">
        <v>363</v>
      </c>
      <c r="F30" s="368">
        <f>(F19/1000)*G60</f>
        <v>3847.2700000000004</v>
      </c>
      <c r="G30" s="368">
        <f>G19*G59/1000</f>
        <v>2448.9360000000001</v>
      </c>
      <c r="H30" s="368">
        <f>H19*6.58/1000</f>
        <v>1257.4380000000001</v>
      </c>
      <c r="I30" s="379">
        <f>I19*G57/1000</f>
        <v>541.41999999999996</v>
      </c>
    </row>
    <row r="31" spans="5:14" ht="24" hidden="1" outlineLevel="1" thickBot="1">
      <c r="E31" s="369" t="s">
        <v>364</v>
      </c>
      <c r="F31" s="370">
        <f>SUM(F28:F30)</f>
        <v>6963.77</v>
      </c>
      <c r="G31" s="370">
        <f>SUM(G28:G30)</f>
        <v>5303.4359999999997</v>
      </c>
      <c r="H31" s="370">
        <f>SUM(H28:H30)</f>
        <v>2757.4380000000001</v>
      </c>
      <c r="I31" s="380">
        <f>SUM(I28:I30)</f>
        <v>1553.42</v>
      </c>
    </row>
    <row r="32" spans="5:14" ht="24" hidden="1" outlineLevel="1" thickTop="1">
      <c r="E32" s="367"/>
      <c r="F32" s="368"/>
      <c r="G32" s="368"/>
      <c r="H32" s="368"/>
      <c r="I32" s="379"/>
    </row>
    <row r="33" spans="5:9" ht="28.5" hidden="1" outlineLevel="1">
      <c r="E33" s="352" t="s">
        <v>347</v>
      </c>
      <c r="F33" s="377">
        <f>F13+F15</f>
        <v>25000</v>
      </c>
      <c r="I33" s="341"/>
    </row>
    <row r="34" spans="5:9" ht="28.5" hidden="1" outlineLevel="1">
      <c r="E34" s="352" t="s">
        <v>379</v>
      </c>
      <c r="F34" s="377">
        <f>F33-3500</f>
        <v>21500</v>
      </c>
      <c r="I34" s="341"/>
    </row>
    <row r="35" spans="5:9" ht="28.5" hidden="1" outlineLevel="1">
      <c r="E35" s="352" t="s">
        <v>68</v>
      </c>
      <c r="F35" s="378">
        <f>IF(F11&gt;0,IF(F12&lt;10000,20%,IF(F12&lt;13000,30%,IF(F12&lt;38000,35%,40%))),IF(F12&lt;10000,10%,IF(F12&lt;13000,25%,30%)))</f>
        <v>0.3</v>
      </c>
      <c r="I35" s="341"/>
    </row>
    <row r="36" spans="5:9" ht="28.5" hidden="1" outlineLevel="1">
      <c r="E36" s="352" t="s">
        <v>355</v>
      </c>
      <c r="F36" s="377">
        <f>F35*F12</f>
        <v>9000</v>
      </c>
      <c r="I36" s="341"/>
    </row>
    <row r="37" spans="5:9" ht="28.5" hidden="1" outlineLevel="1">
      <c r="E37" s="352" t="s">
        <v>356</v>
      </c>
      <c r="F37" s="377">
        <f>IF(F34&lt;F36,F34,F36)</f>
        <v>9000</v>
      </c>
      <c r="I37" s="341"/>
    </row>
    <row r="38" spans="5:9" hidden="1" outlineLevel="1">
      <c r="E38" s="340"/>
      <c r="I38" s="341"/>
    </row>
    <row r="39" spans="5:9" hidden="1" outlineLevel="1">
      <c r="E39" s="340"/>
      <c r="I39" s="341"/>
    </row>
    <row r="40" spans="5:9" ht="24" hidden="1" outlineLevel="1" thickBot="1">
      <c r="E40" s="340"/>
      <c r="I40" s="341"/>
    </row>
    <row r="41" spans="5:9" ht="24" hidden="1" outlineLevel="1" thickBot="1">
      <c r="E41" s="340"/>
      <c r="F41" s="658" t="s">
        <v>353</v>
      </c>
      <c r="G41" s="659"/>
      <c r="I41" s="341"/>
    </row>
    <row r="42" spans="5:9" ht="24" hidden="1" outlineLevel="1" thickBot="1">
      <c r="E42" s="340"/>
      <c r="F42" s="355" t="s">
        <v>348</v>
      </c>
      <c r="G42" s="356">
        <v>0.1</v>
      </c>
      <c r="I42" s="341"/>
    </row>
    <row r="43" spans="5:9" ht="24" hidden="1" outlineLevel="1" thickBot="1">
      <c r="E43" s="340"/>
      <c r="F43" s="355" t="s">
        <v>349</v>
      </c>
      <c r="G43" s="356">
        <v>0.25</v>
      </c>
      <c r="I43" s="341"/>
    </row>
    <row r="44" spans="5:9" ht="24" hidden="1" outlineLevel="1" thickBot="1">
      <c r="E44" s="340"/>
      <c r="F44" s="355" t="s">
        <v>350</v>
      </c>
      <c r="G44" s="356">
        <v>0.3</v>
      </c>
      <c r="I44" s="341"/>
    </row>
    <row r="45" spans="5:9" ht="24" hidden="1" outlineLevel="1" thickBot="1">
      <c r="E45" s="340"/>
      <c r="F45" s="355" t="s">
        <v>351</v>
      </c>
      <c r="G45" s="356">
        <v>0.3</v>
      </c>
      <c r="I45" s="341"/>
    </row>
    <row r="46" spans="5:9" ht="24" hidden="1" outlineLevel="1" thickBot="1">
      <c r="E46" s="340"/>
      <c r="F46" s="355" t="s">
        <v>352</v>
      </c>
      <c r="G46" s="356">
        <v>0.3</v>
      </c>
      <c r="I46" s="341"/>
    </row>
    <row r="47" spans="5:9" ht="24" hidden="1" outlineLevel="1" thickBot="1">
      <c r="E47" s="340"/>
      <c r="I47" s="341"/>
    </row>
    <row r="48" spans="5:9" ht="24" hidden="1" outlineLevel="1" thickBot="1">
      <c r="E48" s="340"/>
      <c r="F48" s="658" t="s">
        <v>354</v>
      </c>
      <c r="G48" s="659"/>
      <c r="I48" s="341"/>
    </row>
    <row r="49" spans="5:9" ht="24" hidden="1" outlineLevel="1" thickBot="1">
      <c r="E49" s="340"/>
      <c r="F49" s="355" t="s">
        <v>348</v>
      </c>
      <c r="G49" s="356">
        <v>0.2</v>
      </c>
      <c r="I49" s="341"/>
    </row>
    <row r="50" spans="5:9" ht="24" hidden="1" outlineLevel="1" thickBot="1">
      <c r="E50" s="340"/>
      <c r="F50" s="355" t="s">
        <v>349</v>
      </c>
      <c r="G50" s="356">
        <v>0.3</v>
      </c>
      <c r="I50" s="341"/>
    </row>
    <row r="51" spans="5:9" ht="24" hidden="1" outlineLevel="1" thickBot="1">
      <c r="E51" s="340"/>
      <c r="F51" s="355" t="s">
        <v>350</v>
      </c>
      <c r="G51" s="356">
        <v>0.35</v>
      </c>
      <c r="I51" s="341"/>
    </row>
    <row r="52" spans="5:9" ht="24" hidden="1" outlineLevel="1" thickBot="1">
      <c r="E52" s="340"/>
      <c r="F52" s="355" t="s">
        <v>351</v>
      </c>
      <c r="G52" s="356">
        <v>0.35</v>
      </c>
      <c r="I52" s="341"/>
    </row>
    <row r="53" spans="5:9" ht="24" hidden="1" outlineLevel="1" thickBot="1">
      <c r="E53" s="340"/>
      <c r="F53" s="355" t="s">
        <v>352</v>
      </c>
      <c r="G53" s="356">
        <v>0.4</v>
      </c>
      <c r="I53" s="341"/>
    </row>
    <row r="54" spans="5:9" hidden="1" outlineLevel="1">
      <c r="E54" s="340"/>
      <c r="I54" s="341"/>
    </row>
    <row r="55" spans="5:9" ht="24" hidden="1" outlineLevel="1" thickBot="1">
      <c r="E55" s="340"/>
      <c r="I55" s="341"/>
    </row>
    <row r="56" spans="5:9" ht="24" hidden="1" outlineLevel="1" thickBot="1">
      <c r="E56" s="340"/>
      <c r="F56" s="660" t="s">
        <v>362</v>
      </c>
      <c r="G56" s="661"/>
      <c r="I56" s="341"/>
    </row>
    <row r="57" spans="5:9" ht="24" hidden="1" outlineLevel="1" thickBot="1">
      <c r="E57" s="340"/>
      <c r="F57" s="355" t="s">
        <v>358</v>
      </c>
      <c r="G57" s="366">
        <v>5.35</v>
      </c>
      <c r="I57" s="341"/>
    </row>
    <row r="58" spans="5:9" ht="24" hidden="1" outlineLevel="1" thickBot="1">
      <c r="E58" s="340"/>
      <c r="F58" s="355" t="s">
        <v>359</v>
      </c>
      <c r="G58" s="366">
        <v>6.58</v>
      </c>
      <c r="I58" s="341"/>
    </row>
    <row r="59" spans="5:9" ht="24" hidden="1" outlineLevel="1" thickBot="1">
      <c r="E59" s="340"/>
      <c r="F59" s="355" t="s">
        <v>360</v>
      </c>
      <c r="G59" s="366">
        <v>9.0399999999999991</v>
      </c>
      <c r="I59" s="341"/>
    </row>
    <row r="60" spans="5:9" ht="24" hidden="1" outlineLevel="1" thickBot="1">
      <c r="E60" s="340"/>
      <c r="F60" s="355" t="s">
        <v>361</v>
      </c>
      <c r="G60" s="365">
        <v>11.9</v>
      </c>
      <c r="I60" s="341"/>
    </row>
    <row r="61" spans="5:9" hidden="1" outlineLevel="1">
      <c r="E61" s="340"/>
      <c r="I61" s="341"/>
    </row>
    <row r="62" spans="5:9" ht="24" hidden="1" outlineLevel="1" thickBot="1">
      <c r="E62" s="364"/>
      <c r="F62" s="381"/>
      <c r="G62" s="381"/>
      <c r="H62" s="381"/>
      <c r="I62" s="365"/>
    </row>
    <row r="63" spans="5:9" hidden="1" outlineLevel="1"/>
    <row r="64" spans="5:9" collapsed="1"/>
  </sheetData>
  <mergeCells count="6">
    <mergeCell ref="E8:I8"/>
    <mergeCell ref="F41:G41"/>
    <mergeCell ref="F48:G48"/>
    <mergeCell ref="F56:G56"/>
    <mergeCell ref="E24:I24"/>
    <mergeCell ref="E26:I26"/>
  </mergeCells>
  <phoneticPr fontId="0" type="noConversion"/>
  <pageMargins left="0.75" right="0.75" top="1" bottom="1" header="0.5" footer="0.5"/>
  <pageSetup scale="4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3"/>
  </sheetPr>
  <dimension ref="A7:AD64"/>
  <sheetViews>
    <sheetView topLeftCell="B3" zoomScale="55" zoomScaleNormal="55" workbookViewId="0">
      <selection activeCell="L22" sqref="L22"/>
    </sheetView>
  </sheetViews>
  <sheetFormatPr defaultRowHeight="14.5" outlineLevelRow="1"/>
  <cols>
    <col min="1" max="4" width="9.1796875" style="339"/>
    <col min="5" max="5" width="92" style="339" bestFit="1" customWidth="1"/>
    <col min="6" max="6" width="29.1796875" style="339" bestFit="1" customWidth="1"/>
    <col min="7" max="7" width="25.453125" style="339" bestFit="1" customWidth="1"/>
    <col min="8" max="8" width="25.1796875" style="339" customWidth="1"/>
    <col min="9" max="9" width="24.453125" style="339" customWidth="1"/>
    <col min="10" max="30" width="9.1796875" style="339"/>
  </cols>
  <sheetData>
    <row r="7" spans="1:30" ht="15" thickBot="1"/>
    <row r="8" spans="1:30" s="152" customFormat="1" ht="46">
      <c r="A8" s="357"/>
      <c r="B8" s="357"/>
      <c r="C8" s="357"/>
      <c r="D8" s="357"/>
      <c r="E8" s="655" t="s">
        <v>338</v>
      </c>
      <c r="F8" s="656"/>
      <c r="G8" s="656"/>
      <c r="H8" s="656"/>
      <c r="I8" s="657"/>
      <c r="J8" s="357"/>
      <c r="K8" s="357"/>
      <c r="L8" s="357"/>
      <c r="M8" s="357"/>
      <c r="N8" s="357"/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  <c r="AA8" s="357"/>
      <c r="AB8" s="357"/>
      <c r="AC8" s="357"/>
      <c r="AD8" s="357"/>
    </row>
    <row r="9" spans="1:30">
      <c r="E9" s="340"/>
      <c r="I9" s="341"/>
    </row>
    <row r="10" spans="1:30">
      <c r="E10" s="340"/>
      <c r="I10" s="341"/>
    </row>
    <row r="11" spans="1:30" ht="34" thickBot="1">
      <c r="E11" s="387" t="s">
        <v>370</v>
      </c>
      <c r="I11" s="341"/>
    </row>
    <row r="12" spans="1:30" ht="34" thickBot="1">
      <c r="E12" s="358" t="s">
        <v>333</v>
      </c>
      <c r="F12" s="360">
        <v>50000</v>
      </c>
      <c r="G12" s="349"/>
      <c r="H12" s="349"/>
      <c r="I12" s="350"/>
    </row>
    <row r="13" spans="1:30" ht="34" thickBot="1">
      <c r="E13" s="358" t="s">
        <v>345</v>
      </c>
      <c r="F13" s="360">
        <v>40000</v>
      </c>
      <c r="G13" s="349"/>
      <c r="H13" s="349"/>
      <c r="I13" s="350"/>
    </row>
    <row r="14" spans="1:30" ht="34" thickBot="1">
      <c r="E14" s="358" t="s">
        <v>334</v>
      </c>
      <c r="F14" s="360">
        <v>0</v>
      </c>
      <c r="G14" s="349"/>
      <c r="H14" s="349"/>
      <c r="I14" s="350"/>
    </row>
    <row r="15" spans="1:30" ht="34" thickBot="1">
      <c r="E15" s="358" t="s">
        <v>335</v>
      </c>
      <c r="F15" s="360">
        <v>0</v>
      </c>
      <c r="G15" s="349"/>
      <c r="H15" s="349"/>
      <c r="I15" s="350"/>
    </row>
    <row r="16" spans="1:30" ht="34" thickBot="1">
      <c r="E16" s="348"/>
      <c r="F16" s="351"/>
      <c r="G16" s="349"/>
      <c r="H16" s="349"/>
      <c r="I16" s="350"/>
    </row>
    <row r="17" spans="5:9" ht="29" thickBot="1">
      <c r="E17" s="359" t="s">
        <v>336</v>
      </c>
      <c r="F17" s="361" t="s">
        <v>339</v>
      </c>
      <c r="G17" s="361" t="s">
        <v>340</v>
      </c>
      <c r="H17" s="361" t="s">
        <v>341</v>
      </c>
      <c r="I17" s="363" t="s">
        <v>342</v>
      </c>
    </row>
    <row r="18" spans="5:9" ht="28.5">
      <c r="E18" s="359" t="s">
        <v>357</v>
      </c>
      <c r="F18" s="373">
        <v>0.12</v>
      </c>
      <c r="G18" s="373">
        <v>0.1</v>
      </c>
      <c r="H18" s="373">
        <v>0.1</v>
      </c>
      <c r="I18" s="373">
        <v>0.1</v>
      </c>
    </row>
    <row r="19" spans="5:9" ht="28.5">
      <c r="E19" s="359" t="s">
        <v>346</v>
      </c>
      <c r="F19" s="362">
        <f>ROUNDDOWN(-PV(F18/12,48,F37),-2)</f>
        <v>569600</v>
      </c>
      <c r="G19" s="362">
        <f>ROUNDDOWN(-PV(G18/12,36,F37),-2)</f>
        <v>464800</v>
      </c>
      <c r="H19" s="362">
        <f>ROUNDDOWN(-PV(H18/12,24,F37),-2)</f>
        <v>325000</v>
      </c>
      <c r="I19" s="362">
        <f>ROUNDDOWN(-PV(I18/12,12,F37),-2)</f>
        <v>170600</v>
      </c>
    </row>
    <row r="20" spans="5:9" ht="28.5">
      <c r="E20" s="359" t="s">
        <v>337</v>
      </c>
      <c r="F20" s="374">
        <f>-PMT(F18/12,48,F19)</f>
        <v>14999.752662026056</v>
      </c>
      <c r="G20" s="374">
        <f>-PMT(G18/12,36,G19)</f>
        <v>14997.788607695664</v>
      </c>
      <c r="H20" s="374">
        <f>-PMT(H18/12,24,H19)</f>
        <v>14997.101059692863</v>
      </c>
      <c r="I20" s="374">
        <f>-PMT(I18/12,12,I19)</f>
        <v>14998.450361439636</v>
      </c>
    </row>
    <row r="21" spans="5:9" ht="28.5">
      <c r="E21" s="359" t="s">
        <v>343</v>
      </c>
      <c r="F21" s="362">
        <f>F19-F14-F31</f>
        <v>558473.76</v>
      </c>
      <c r="G21" s="362">
        <f>G19-F14-G31</f>
        <v>456774.20799999998</v>
      </c>
      <c r="H21" s="362">
        <f>H19-F14-H31</f>
        <v>319736.5</v>
      </c>
      <c r="I21" s="362">
        <f>I19-F14-I31</f>
        <v>168187.29</v>
      </c>
    </row>
    <row r="22" spans="5:9" ht="29" thickBot="1">
      <c r="E22" s="359" t="s">
        <v>344</v>
      </c>
      <c r="F22" s="375">
        <f>$F$13-F20+$F$15</f>
        <v>25000.247337973946</v>
      </c>
      <c r="G22" s="375">
        <f>$F$13-G20+$F$15</f>
        <v>25002.211392304336</v>
      </c>
      <c r="H22" s="375">
        <f>$F$13-H20+$F$15</f>
        <v>25002.898940307139</v>
      </c>
      <c r="I22" s="375">
        <f>$F$13-I20+$F$15</f>
        <v>25001.549638560362</v>
      </c>
    </row>
    <row r="23" spans="5:9" ht="28.5">
      <c r="E23" s="352"/>
      <c r="F23" s="371"/>
      <c r="G23" s="371"/>
      <c r="H23" s="371"/>
      <c r="I23" s="372"/>
    </row>
    <row r="24" spans="5:9" ht="46.5" thickBot="1">
      <c r="E24" s="636" t="s">
        <v>367</v>
      </c>
      <c r="F24" s="637"/>
      <c r="G24" s="637"/>
      <c r="H24" s="637"/>
      <c r="I24" s="638"/>
    </row>
    <row r="25" spans="5:9" ht="28.5">
      <c r="E25" s="376"/>
      <c r="F25" s="371"/>
      <c r="G25" s="371"/>
      <c r="I25" s="382" t="s">
        <v>369</v>
      </c>
    </row>
    <row r="26" spans="5:9" ht="28.5" hidden="1" outlineLevel="1">
      <c r="E26" s="662" t="s">
        <v>368</v>
      </c>
      <c r="F26" s="663"/>
      <c r="G26" s="663"/>
      <c r="H26" s="663"/>
      <c r="I26" s="664"/>
    </row>
    <row r="27" spans="5:9" hidden="1" outlineLevel="1">
      <c r="E27" s="340"/>
      <c r="F27" s="353"/>
      <c r="G27" s="353"/>
      <c r="H27" s="353"/>
      <c r="I27" s="354"/>
    </row>
    <row r="28" spans="5:9" hidden="1" outlineLevel="1">
      <c r="E28" s="367" t="s">
        <v>365</v>
      </c>
      <c r="F28" s="383">
        <f>IF(F19*1%&lt;1500,F19*1%,1500)</f>
        <v>1500</v>
      </c>
      <c r="G28" s="383">
        <f>IF(G19*1%&lt;1500,G19*1%,1500)</f>
        <v>1500</v>
      </c>
      <c r="H28" s="383">
        <f>IF(H19*1%&lt;1500,H19*1%,1500)</f>
        <v>1500</v>
      </c>
      <c r="I28" s="384">
        <f>IF(I19*1%&lt;1500,I19*1%,1500)</f>
        <v>1500</v>
      </c>
    </row>
    <row r="29" spans="5:9" hidden="1" outlineLevel="1">
      <c r="E29" s="367" t="s">
        <v>366</v>
      </c>
      <c r="F29" s="383">
        <f>IF(F19&lt;250000,0,F19/200)</f>
        <v>2848</v>
      </c>
      <c r="G29" s="383">
        <f>IF(G19&lt;250000,0,G19/200)</f>
        <v>2324</v>
      </c>
      <c r="H29" s="383">
        <f>IF(H19&lt;250000,0,H19/200)</f>
        <v>1625</v>
      </c>
      <c r="I29" s="384">
        <f>IF(I19&lt;250000,0,I19/200)</f>
        <v>0</v>
      </c>
    </row>
    <row r="30" spans="5:9" hidden="1" outlineLevel="1">
      <c r="E30" s="367" t="s">
        <v>363</v>
      </c>
      <c r="F30" s="383">
        <f>(F19/1000)*G60</f>
        <v>6778.2400000000007</v>
      </c>
      <c r="G30" s="383">
        <f>G19*G59/1000</f>
        <v>4201.7920000000004</v>
      </c>
      <c r="H30" s="383">
        <f>H19*6.58/1000</f>
        <v>2138.5</v>
      </c>
      <c r="I30" s="384">
        <f>I19*G57/1000</f>
        <v>912.70999999999992</v>
      </c>
    </row>
    <row r="31" spans="5:9" ht="15" hidden="1" outlineLevel="1" thickBot="1">
      <c r="E31" s="369" t="s">
        <v>364</v>
      </c>
      <c r="F31" s="370">
        <f>SUM(F28:F30)</f>
        <v>11126.240000000002</v>
      </c>
      <c r="G31" s="370">
        <f>SUM(G28:G30)</f>
        <v>8025.7920000000004</v>
      </c>
      <c r="H31" s="370">
        <f>SUM(H28:H30)</f>
        <v>5263.5</v>
      </c>
      <c r="I31" s="380">
        <f>SUM(I28:I30)</f>
        <v>2412.71</v>
      </c>
    </row>
    <row r="32" spans="5:9" ht="15" hidden="1" outlineLevel="1" thickTop="1">
      <c r="E32" s="367"/>
      <c r="F32" s="383"/>
      <c r="G32" s="383"/>
      <c r="H32" s="383"/>
      <c r="I32" s="384"/>
    </row>
    <row r="33" spans="5:9" ht="28.5" hidden="1" outlineLevel="1">
      <c r="E33" s="352" t="s">
        <v>347</v>
      </c>
      <c r="F33" s="385">
        <f>F13+F15</f>
        <v>40000</v>
      </c>
      <c r="I33" s="341"/>
    </row>
    <row r="34" spans="5:9" ht="28.5" hidden="1" outlineLevel="1">
      <c r="E34" s="352" t="s">
        <v>379</v>
      </c>
      <c r="F34" s="385">
        <f>F33-3500</f>
        <v>36500</v>
      </c>
      <c r="I34" s="341"/>
    </row>
    <row r="35" spans="5:9" ht="28.5" hidden="1" outlineLevel="1">
      <c r="E35" s="352" t="s">
        <v>68</v>
      </c>
      <c r="F35" s="386">
        <f>IF(F15&gt;0,IF(F12&lt;10000,20%,IF(F12&lt;13000,30%,IF(F12&lt;38000,35%,40%))),IF(F12&lt;10000,10%,IF(F12&lt;13000,25%,30%)))</f>
        <v>0.3</v>
      </c>
      <c r="I35" s="341"/>
    </row>
    <row r="36" spans="5:9" ht="28.5" hidden="1" outlineLevel="1">
      <c r="E36" s="352" t="s">
        <v>355</v>
      </c>
      <c r="F36" s="385">
        <f>F35*F12</f>
        <v>15000</v>
      </c>
      <c r="I36" s="341"/>
    </row>
    <row r="37" spans="5:9" ht="28.5" hidden="1" outlineLevel="1">
      <c r="E37" s="352" t="s">
        <v>356</v>
      </c>
      <c r="F37" s="385">
        <f>IF(F34&lt;F36,F34,F36)</f>
        <v>15000</v>
      </c>
      <c r="I37" s="341"/>
    </row>
    <row r="38" spans="5:9" hidden="1" outlineLevel="1">
      <c r="E38" s="340"/>
      <c r="I38" s="341"/>
    </row>
    <row r="39" spans="5:9" hidden="1" outlineLevel="1">
      <c r="E39" s="340"/>
      <c r="I39" s="341"/>
    </row>
    <row r="40" spans="5:9" ht="15" hidden="1" outlineLevel="1" thickBot="1">
      <c r="E40" s="340"/>
      <c r="I40" s="341"/>
    </row>
    <row r="41" spans="5:9" ht="15" hidden="1" outlineLevel="1" thickBot="1">
      <c r="E41" s="340"/>
      <c r="F41" s="658" t="s">
        <v>353</v>
      </c>
      <c r="G41" s="659"/>
      <c r="I41" s="341"/>
    </row>
    <row r="42" spans="5:9" ht="15" hidden="1" outlineLevel="1" thickBot="1">
      <c r="E42" s="340"/>
      <c r="F42" s="355" t="s">
        <v>348</v>
      </c>
      <c r="G42" s="356">
        <v>0.1</v>
      </c>
      <c r="I42" s="341"/>
    </row>
    <row r="43" spans="5:9" ht="15" hidden="1" outlineLevel="1" thickBot="1">
      <c r="E43" s="340"/>
      <c r="F43" s="355" t="s">
        <v>349</v>
      </c>
      <c r="G43" s="356">
        <v>0.25</v>
      </c>
      <c r="I43" s="341"/>
    </row>
    <row r="44" spans="5:9" ht="15" hidden="1" outlineLevel="1" thickBot="1">
      <c r="E44" s="340"/>
      <c r="F44" s="355" t="s">
        <v>350</v>
      </c>
      <c r="G44" s="356">
        <v>0.3</v>
      </c>
      <c r="I44" s="341"/>
    </row>
    <row r="45" spans="5:9" ht="15" hidden="1" outlineLevel="1" thickBot="1">
      <c r="E45" s="340"/>
      <c r="F45" s="355" t="s">
        <v>351</v>
      </c>
      <c r="G45" s="356">
        <v>0.3</v>
      </c>
      <c r="I45" s="341"/>
    </row>
    <row r="46" spans="5:9" ht="15" hidden="1" outlineLevel="1" thickBot="1">
      <c r="E46" s="340"/>
      <c r="F46" s="355" t="s">
        <v>352</v>
      </c>
      <c r="G46" s="356">
        <v>0.3</v>
      </c>
      <c r="I46" s="341"/>
    </row>
    <row r="47" spans="5:9" ht="15" hidden="1" outlineLevel="1" thickBot="1">
      <c r="E47" s="340"/>
      <c r="I47" s="341"/>
    </row>
    <row r="48" spans="5:9" ht="15" hidden="1" outlineLevel="1" thickBot="1">
      <c r="E48" s="340"/>
      <c r="F48" s="658" t="s">
        <v>354</v>
      </c>
      <c r="G48" s="659"/>
      <c r="I48" s="341"/>
    </row>
    <row r="49" spans="5:9" ht="15" hidden="1" outlineLevel="1" thickBot="1">
      <c r="E49" s="340"/>
      <c r="F49" s="355" t="s">
        <v>348</v>
      </c>
      <c r="G49" s="356">
        <v>0.2</v>
      </c>
      <c r="I49" s="341"/>
    </row>
    <row r="50" spans="5:9" ht="15" hidden="1" outlineLevel="1" thickBot="1">
      <c r="E50" s="340"/>
      <c r="F50" s="355" t="s">
        <v>349</v>
      </c>
      <c r="G50" s="356">
        <v>0.3</v>
      </c>
      <c r="I50" s="341"/>
    </row>
    <row r="51" spans="5:9" ht="15" hidden="1" outlineLevel="1" thickBot="1">
      <c r="E51" s="340"/>
      <c r="F51" s="355" t="s">
        <v>350</v>
      </c>
      <c r="G51" s="356">
        <v>0.35</v>
      </c>
      <c r="I51" s="341"/>
    </row>
    <row r="52" spans="5:9" ht="15" hidden="1" outlineLevel="1" thickBot="1">
      <c r="E52" s="340"/>
      <c r="F52" s="355" t="s">
        <v>351</v>
      </c>
      <c r="G52" s="356">
        <v>0.35</v>
      </c>
      <c r="I52" s="341"/>
    </row>
    <row r="53" spans="5:9" ht="15" hidden="1" outlineLevel="1" thickBot="1">
      <c r="E53" s="340"/>
      <c r="F53" s="355" t="s">
        <v>352</v>
      </c>
      <c r="G53" s="356">
        <v>0.4</v>
      </c>
      <c r="I53" s="341"/>
    </row>
    <row r="54" spans="5:9" hidden="1" outlineLevel="1">
      <c r="E54" s="340"/>
      <c r="I54" s="341"/>
    </row>
    <row r="55" spans="5:9" ht="15" hidden="1" outlineLevel="1" thickBot="1">
      <c r="E55" s="340"/>
      <c r="I55" s="341"/>
    </row>
    <row r="56" spans="5:9" ht="15" hidden="1" outlineLevel="1" thickBot="1">
      <c r="E56" s="340"/>
      <c r="F56" s="660" t="s">
        <v>362</v>
      </c>
      <c r="G56" s="661"/>
      <c r="I56" s="341"/>
    </row>
    <row r="57" spans="5:9" ht="15" hidden="1" outlineLevel="1" thickBot="1">
      <c r="E57" s="340"/>
      <c r="F57" s="355" t="s">
        <v>358</v>
      </c>
      <c r="G57" s="366">
        <v>5.35</v>
      </c>
      <c r="I57" s="341"/>
    </row>
    <row r="58" spans="5:9" ht="15" hidden="1" outlineLevel="1" thickBot="1">
      <c r="E58" s="340"/>
      <c r="F58" s="355" t="s">
        <v>359</v>
      </c>
      <c r="G58" s="366">
        <v>6.58</v>
      </c>
      <c r="I58" s="341"/>
    </row>
    <row r="59" spans="5:9" ht="15" hidden="1" outlineLevel="1" thickBot="1">
      <c r="E59" s="340"/>
      <c r="F59" s="355" t="s">
        <v>360</v>
      </c>
      <c r="G59" s="366">
        <v>9.0399999999999991</v>
      </c>
      <c r="I59" s="341"/>
    </row>
    <row r="60" spans="5:9" ht="15" hidden="1" outlineLevel="1" thickBot="1">
      <c r="E60" s="340"/>
      <c r="F60" s="355" t="s">
        <v>361</v>
      </c>
      <c r="G60" s="365">
        <v>11.9</v>
      </c>
      <c r="I60" s="341"/>
    </row>
    <row r="61" spans="5:9" hidden="1" outlineLevel="1">
      <c r="E61" s="340"/>
      <c r="I61" s="341"/>
    </row>
    <row r="62" spans="5:9" ht="15" hidden="1" outlineLevel="1" thickBot="1">
      <c r="E62" s="364"/>
      <c r="F62" s="381"/>
      <c r="G62" s="381"/>
      <c r="H62" s="381"/>
      <c r="I62" s="365"/>
    </row>
    <row r="63" spans="5:9" hidden="1" outlineLevel="1"/>
    <row r="64" spans="5:9" collapsed="1"/>
  </sheetData>
  <mergeCells count="6">
    <mergeCell ref="E8:I8"/>
    <mergeCell ref="F41:G41"/>
    <mergeCell ref="F48:G48"/>
    <mergeCell ref="F56:G56"/>
    <mergeCell ref="E24:I24"/>
    <mergeCell ref="E26:I26"/>
  </mergeCells>
  <phoneticPr fontId="0" type="noConversion"/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BN16"/>
  <sheetViews>
    <sheetView topLeftCell="F1" workbookViewId="0">
      <selection activeCell="C20" sqref="C20"/>
    </sheetView>
  </sheetViews>
  <sheetFormatPr defaultRowHeight="14.5"/>
  <cols>
    <col min="1" max="1" width="9.1796875" style="339"/>
    <col min="2" max="2" width="18.7265625" customWidth="1"/>
    <col min="3" max="3" width="60.453125" customWidth="1"/>
    <col min="4" max="66" width="9.1796875" style="339"/>
  </cols>
  <sheetData>
    <row r="1" spans="2:3">
      <c r="B1" s="339"/>
      <c r="C1" s="339"/>
    </row>
    <row r="2" spans="2:3">
      <c r="B2" s="339"/>
      <c r="C2" s="339"/>
    </row>
    <row r="3" spans="2:3" ht="15" thickBot="1">
      <c r="B3" s="339"/>
      <c r="C3" s="339"/>
    </row>
    <row r="4" spans="2:3">
      <c r="B4" s="667" t="s">
        <v>332</v>
      </c>
      <c r="C4" s="668"/>
    </row>
    <row r="5" spans="2:3">
      <c r="B5" s="669"/>
      <c r="C5" s="670"/>
    </row>
    <row r="6" spans="2:3">
      <c r="B6" s="669"/>
      <c r="C6" s="670"/>
    </row>
    <row r="7" spans="2:3">
      <c r="B7" s="340"/>
      <c r="C7" s="341"/>
    </row>
    <row r="8" spans="2:3">
      <c r="B8" s="665" t="s">
        <v>325</v>
      </c>
      <c r="C8" s="666"/>
    </row>
    <row r="9" spans="2:3" ht="23.5">
      <c r="B9" s="342" t="s">
        <v>322</v>
      </c>
      <c r="C9" s="343" t="s">
        <v>53</v>
      </c>
    </row>
    <row r="10" spans="2:3" ht="23.5">
      <c r="B10" s="342" t="s">
        <v>324</v>
      </c>
      <c r="C10" s="343" t="s">
        <v>55</v>
      </c>
    </row>
    <row r="11" spans="2:3" ht="23.5">
      <c r="B11" s="342" t="s">
        <v>323</v>
      </c>
      <c r="C11" s="343" t="s">
        <v>321</v>
      </c>
    </row>
    <row r="12" spans="2:3">
      <c r="B12" s="340"/>
      <c r="C12" s="341"/>
    </row>
    <row r="13" spans="2:3" ht="23.5">
      <c r="B13" s="342" t="s">
        <v>328</v>
      </c>
      <c r="C13" s="343" t="s">
        <v>145</v>
      </c>
    </row>
    <row r="14" spans="2:3" ht="23.5">
      <c r="B14" s="342" t="s">
        <v>329</v>
      </c>
      <c r="C14" s="343" t="s">
        <v>331</v>
      </c>
    </row>
    <row r="15" spans="2:3" ht="24" thickBot="1">
      <c r="B15" s="344" t="s">
        <v>330</v>
      </c>
      <c r="C15" s="345" t="s">
        <v>147</v>
      </c>
    </row>
    <row r="16" spans="2:3">
      <c r="B16" s="339"/>
      <c r="C16" s="339"/>
    </row>
  </sheetData>
  <mergeCells count="2">
    <mergeCell ref="B8:C8"/>
    <mergeCell ref="B4:C6"/>
  </mergeCells>
  <phoneticPr fontId="0" type="noConversion"/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tabColor rgb="FF00B050"/>
  </sheetPr>
  <dimension ref="A2:DT268"/>
  <sheetViews>
    <sheetView zoomScale="90" zoomScaleNormal="90" workbookViewId="0">
      <pane xSplit="3" ySplit="6" topLeftCell="D7" activePane="bottomRight" state="frozen"/>
      <selection activeCell="C20" sqref="C20"/>
      <selection pane="topRight" activeCell="C20" sqref="C20"/>
      <selection pane="bottomLeft" activeCell="C20" sqref="C20"/>
      <selection pane="bottomRight" activeCell="C20" sqref="C20"/>
    </sheetView>
  </sheetViews>
  <sheetFormatPr defaultColWidth="9.1796875" defaultRowHeight="14.5" outlineLevelRow="2" outlineLevelCol="1"/>
  <cols>
    <col min="1" max="1" width="5.453125" style="138" customWidth="1"/>
    <col min="2" max="2" width="4.7265625" style="138" customWidth="1"/>
    <col min="3" max="3" width="44.54296875" style="229" customWidth="1"/>
    <col min="4" max="4" width="51.54296875" style="230" customWidth="1"/>
    <col min="5" max="5" width="20.1796875" style="230" hidden="1" customWidth="1" outlineLevel="1"/>
    <col min="6" max="6" width="21" style="230" hidden="1" customWidth="1" outlineLevel="1"/>
    <col min="7" max="7" width="9.26953125" style="231" hidden="1" customWidth="1" outlineLevel="1"/>
    <col min="8" max="8" width="23.26953125" style="230" hidden="1" customWidth="1" outlineLevel="1"/>
    <col min="9" max="9" width="30" style="230" hidden="1" customWidth="1" outlineLevel="1"/>
    <col min="10" max="10" width="26" style="230" hidden="1" customWidth="1" outlineLevel="1"/>
    <col min="11" max="11" width="21" style="230" hidden="1" customWidth="1" outlineLevel="1"/>
    <col min="12" max="12" width="14.7265625" style="230" hidden="1" customWidth="1" outlineLevel="1"/>
    <col min="13" max="13" width="14.453125" style="230" hidden="1" customWidth="1" outlineLevel="1"/>
    <col min="14" max="14" width="13.1796875" style="230" hidden="1" customWidth="1" outlineLevel="1"/>
    <col min="15" max="15" width="9.26953125" style="230" hidden="1" customWidth="1" outlineLevel="1"/>
    <col min="16" max="17" width="12.54296875" style="230" hidden="1" customWidth="1" outlineLevel="1"/>
    <col min="18" max="18" width="14.453125" style="230" hidden="1" customWidth="1" outlineLevel="1"/>
    <col min="19" max="19" width="15.453125" style="230" hidden="1" customWidth="1" outlineLevel="1"/>
    <col min="20" max="20" width="17.7265625" style="230" hidden="1" customWidth="1" outlineLevel="1"/>
    <col min="21" max="21" width="12" style="230" hidden="1" customWidth="1" outlineLevel="1"/>
    <col min="22" max="22" width="11.54296875" style="230" hidden="1" customWidth="1" outlineLevel="1"/>
    <col min="23" max="23" width="11" style="230" hidden="1" customWidth="1" outlineLevel="1"/>
    <col min="24" max="40" width="14.26953125" style="230" hidden="1" customWidth="1" outlineLevel="1"/>
    <col min="41" max="41" width="22.453125" style="230" hidden="1" customWidth="1" outlineLevel="1"/>
    <col min="42" max="42" width="45.26953125" style="230" hidden="1" customWidth="1" outlineLevel="1"/>
    <col min="43" max="44" width="14.26953125" style="230" hidden="1" customWidth="1" outlineLevel="1"/>
    <col min="45" max="45" width="24.54296875" style="230" hidden="1" customWidth="1" outlineLevel="1"/>
    <col min="46" max="46" width="14.26953125" style="230" hidden="1" customWidth="1" outlineLevel="1"/>
    <col min="47" max="47" width="4.1796875" style="138" customWidth="1" collapsed="1"/>
    <col min="48" max="48" width="51.54296875" style="230" customWidth="1"/>
    <col min="49" max="49" width="3.81640625" style="138" customWidth="1"/>
    <col min="50" max="50" width="51.54296875" style="230" customWidth="1"/>
    <col min="51" max="51" width="3.81640625" style="138" customWidth="1"/>
    <col min="52" max="52" width="51.54296875" style="230" customWidth="1"/>
    <col min="53" max="53" width="3.81640625" style="138" customWidth="1"/>
    <col min="54" max="54" width="51.54296875" style="230" customWidth="1"/>
    <col min="55" max="55" width="3.81640625" style="138" customWidth="1"/>
    <col min="56" max="56" width="51.54296875" style="230" customWidth="1"/>
    <col min="57" max="57" width="3.81640625" style="138" customWidth="1"/>
    <col min="58" max="58" width="51.54296875" style="230" customWidth="1"/>
    <col min="59" max="59" width="3.81640625" style="138" customWidth="1"/>
    <col min="60" max="60" width="51.54296875" style="230" customWidth="1"/>
    <col min="61" max="61" width="3.81640625" style="138" customWidth="1"/>
    <col min="62" max="62" width="51.54296875" style="230" customWidth="1"/>
    <col min="63" max="63" width="3.81640625" style="138" customWidth="1"/>
    <col min="64" max="64" width="51.54296875" style="230" customWidth="1"/>
    <col min="65" max="65" width="3.81640625" style="138" customWidth="1"/>
    <col min="66" max="66" width="51.54296875" style="230" customWidth="1"/>
    <col min="67" max="67" width="3.81640625" style="138" customWidth="1"/>
    <col min="68" max="68" width="51.54296875" style="230" customWidth="1"/>
    <col min="69" max="69" width="3.81640625" style="138" customWidth="1"/>
    <col min="70" max="70" width="51.54296875" style="230" customWidth="1"/>
    <col min="71" max="71" width="3.81640625" style="138" customWidth="1"/>
    <col min="72" max="72" width="51.54296875" style="230" customWidth="1"/>
    <col min="73" max="73" width="3.81640625" style="138" customWidth="1"/>
    <col min="74" max="74" width="51.54296875" style="230" customWidth="1"/>
    <col min="75" max="75" width="3.81640625" style="138" customWidth="1"/>
    <col min="76" max="76" width="51.54296875" style="230" customWidth="1"/>
    <col min="77" max="77" width="3.81640625" style="138" customWidth="1"/>
    <col min="78" max="78" width="51.54296875" style="230" customWidth="1"/>
    <col min="79" max="79" width="3.81640625" style="138" customWidth="1"/>
    <col min="80" max="80" width="51.54296875" style="230" customWidth="1"/>
    <col min="81" max="81" width="3.81640625" style="138" customWidth="1"/>
    <col min="82" max="82" width="51.54296875" style="230" customWidth="1"/>
    <col min="83" max="83" width="3.81640625" style="138" customWidth="1"/>
    <col min="84" max="84" width="51.54296875" style="230" customWidth="1"/>
    <col min="85" max="85" width="3.81640625" style="138" customWidth="1"/>
    <col min="86" max="122" width="9.1796875" style="138"/>
  </cols>
  <sheetData>
    <row r="2" spans="1:122" ht="28.5">
      <c r="C2" s="671" t="s">
        <v>174</v>
      </c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671"/>
      <c r="O2" s="671"/>
      <c r="P2" s="671"/>
      <c r="Q2" s="671"/>
      <c r="R2" s="671"/>
      <c r="S2" s="671"/>
      <c r="T2" s="671"/>
      <c r="U2" s="671"/>
      <c r="V2" s="671"/>
      <c r="W2" s="671"/>
      <c r="X2" s="671"/>
      <c r="Y2" s="671"/>
      <c r="Z2" s="671"/>
      <c r="AA2" s="671"/>
      <c r="AB2" s="671"/>
      <c r="AC2" s="671"/>
      <c r="AD2" s="671"/>
      <c r="AE2" s="671"/>
      <c r="AF2" s="671"/>
      <c r="AG2" s="671"/>
      <c r="AH2" s="671"/>
      <c r="AI2" s="671"/>
      <c r="AJ2" s="671"/>
      <c r="AK2" s="671"/>
      <c r="AL2" s="671"/>
      <c r="AM2" s="671"/>
      <c r="AN2" s="671"/>
      <c r="AO2" s="671"/>
      <c r="AP2" s="671"/>
      <c r="AQ2" s="671"/>
      <c r="AR2" s="671"/>
      <c r="AS2" s="671"/>
      <c r="AT2" s="671"/>
      <c r="AU2" s="671"/>
      <c r="AV2" s="671"/>
      <c r="AW2" s="671"/>
      <c r="AX2" s="671"/>
      <c r="AY2" s="671"/>
      <c r="AZ2" s="671"/>
      <c r="BA2" s="671"/>
      <c r="BB2" s="671"/>
      <c r="BC2" s="671"/>
      <c r="BD2" s="671"/>
      <c r="BE2" s="671"/>
      <c r="BF2" s="671"/>
      <c r="BG2" s="671"/>
      <c r="BH2" s="671"/>
      <c r="BI2" s="671"/>
      <c r="BJ2" s="671"/>
      <c r="BK2" s="671"/>
      <c r="BL2" s="671"/>
      <c r="BM2" s="671"/>
      <c r="BN2" s="671"/>
      <c r="BO2" s="671"/>
      <c r="BP2" s="671"/>
      <c r="BQ2" s="671"/>
      <c r="BR2" s="671"/>
      <c r="BS2" s="671"/>
      <c r="BT2" s="671"/>
      <c r="BU2" s="671"/>
      <c r="BV2" s="671"/>
      <c r="BW2" s="671"/>
      <c r="BX2" s="671"/>
      <c r="BY2" s="671"/>
      <c r="BZ2" s="671"/>
      <c r="CA2" s="671"/>
      <c r="CB2" s="671"/>
      <c r="CC2" s="671"/>
      <c r="CD2" s="671"/>
      <c r="CE2" s="671"/>
      <c r="CF2" s="671"/>
    </row>
    <row r="4" spans="1:122" s="142" customFormat="1" ht="21.5" thickBot="1">
      <c r="A4" s="138"/>
      <c r="B4" s="138"/>
      <c r="C4" s="139" t="s">
        <v>171</v>
      </c>
      <c r="D4" s="140"/>
      <c r="E4" s="140"/>
      <c r="F4" s="140"/>
      <c r="G4" s="141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V4" s="140"/>
      <c r="AX4" s="140"/>
      <c r="AZ4" s="140"/>
      <c r="BB4" s="140"/>
      <c r="BD4" s="140"/>
      <c r="BF4" s="140"/>
      <c r="BH4" s="140"/>
      <c r="BJ4" s="140"/>
      <c r="BL4" s="140"/>
      <c r="BN4" s="140"/>
      <c r="BP4" s="140"/>
      <c r="BR4" s="140"/>
      <c r="BT4" s="140"/>
      <c r="BV4" s="140"/>
      <c r="BX4" s="140"/>
      <c r="BZ4" s="140"/>
      <c r="CB4" s="140"/>
      <c r="CD4" s="140"/>
      <c r="CF4" s="140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138"/>
      <c r="DI4" s="138"/>
      <c r="DJ4" s="138"/>
      <c r="DK4" s="138"/>
      <c r="DL4" s="138"/>
      <c r="DM4" s="138"/>
      <c r="DN4" s="138"/>
      <c r="DO4" s="138"/>
      <c r="DP4" s="138"/>
      <c r="DQ4" s="138"/>
      <c r="DR4" s="138"/>
    </row>
    <row r="5" spans="1:122" s="149" customFormat="1" ht="26.5" thickBot="1">
      <c r="A5" s="143"/>
      <c r="B5" s="143"/>
      <c r="C5" s="144"/>
      <c r="D5" s="145">
        <v>1</v>
      </c>
      <c r="E5" s="146"/>
      <c r="F5" s="146"/>
      <c r="G5" s="147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3"/>
      <c r="AV5" s="148">
        <v>2</v>
      </c>
      <c r="AW5" s="143"/>
      <c r="AX5" s="148">
        <v>3</v>
      </c>
      <c r="AY5" s="143"/>
      <c r="AZ5" s="148">
        <v>4</v>
      </c>
      <c r="BA5" s="143"/>
      <c r="BB5" s="148">
        <v>5</v>
      </c>
      <c r="BC5" s="143"/>
      <c r="BD5" s="148">
        <v>6</v>
      </c>
      <c r="BE5" s="143"/>
      <c r="BF5" s="148">
        <v>7</v>
      </c>
      <c r="BG5" s="143"/>
      <c r="BH5" s="148">
        <v>8</v>
      </c>
      <c r="BI5" s="143"/>
      <c r="BJ5" s="148">
        <v>9</v>
      </c>
      <c r="BK5" s="143"/>
      <c r="BL5" s="148">
        <v>10</v>
      </c>
      <c r="BM5" s="143"/>
      <c r="BN5" s="148">
        <v>11</v>
      </c>
      <c r="BO5" s="143"/>
      <c r="BP5" s="148">
        <v>12</v>
      </c>
      <c r="BQ5" s="143"/>
      <c r="BR5" s="148">
        <v>13</v>
      </c>
      <c r="BS5" s="143"/>
      <c r="BT5" s="148">
        <v>14</v>
      </c>
      <c r="BU5" s="143"/>
      <c r="BV5" s="148">
        <v>15</v>
      </c>
      <c r="BW5" s="143"/>
      <c r="BX5" s="148">
        <v>16</v>
      </c>
      <c r="BY5" s="143"/>
      <c r="BZ5" s="148">
        <v>17</v>
      </c>
      <c r="CA5" s="143"/>
      <c r="CB5" s="148">
        <v>18</v>
      </c>
      <c r="CC5" s="143"/>
      <c r="CD5" s="148">
        <v>19</v>
      </c>
      <c r="CE5" s="143"/>
      <c r="CF5" s="148">
        <v>20</v>
      </c>
      <c r="CG5" s="143"/>
      <c r="CH5" s="143"/>
      <c r="CI5" s="143"/>
      <c r="CJ5" s="143"/>
      <c r="CK5" s="143"/>
      <c r="CL5" s="143"/>
      <c r="CM5" s="143"/>
      <c r="CN5" s="143"/>
      <c r="CO5" s="143"/>
      <c r="CP5" s="143"/>
      <c r="CQ5" s="143"/>
      <c r="CR5" s="143"/>
      <c r="CS5" s="143"/>
      <c r="CT5" s="143"/>
      <c r="CU5" s="143"/>
      <c r="CV5" s="143"/>
      <c r="CW5" s="143"/>
      <c r="CX5" s="143"/>
      <c r="CY5" s="143"/>
      <c r="CZ5" s="143"/>
      <c r="DA5" s="143"/>
      <c r="DB5" s="143"/>
      <c r="DC5" s="143"/>
      <c r="DD5" s="143"/>
      <c r="DE5" s="143"/>
      <c r="DF5" s="143"/>
      <c r="DG5" s="143"/>
      <c r="DH5" s="143"/>
      <c r="DI5" s="143"/>
      <c r="DJ5" s="143"/>
      <c r="DK5" s="143"/>
      <c r="DL5" s="143"/>
      <c r="DM5" s="143"/>
      <c r="DN5" s="143"/>
      <c r="DO5" s="143"/>
      <c r="DP5" s="143"/>
      <c r="DQ5" s="143"/>
      <c r="DR5" s="143"/>
    </row>
    <row r="6" spans="1:122" ht="26.5" thickBot="1">
      <c r="C6" s="150" t="s">
        <v>96</v>
      </c>
      <c r="D6" s="232" t="s">
        <v>184</v>
      </c>
      <c r="E6" s="233"/>
      <c r="F6" s="233"/>
      <c r="G6" s="234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5"/>
      <c r="AV6" s="236"/>
      <c r="AW6" s="235"/>
      <c r="AX6" s="236"/>
      <c r="AY6" s="235"/>
      <c r="AZ6" s="236"/>
      <c r="BA6" s="235"/>
      <c r="BB6" s="236"/>
      <c r="BC6" s="235"/>
      <c r="BD6" s="236"/>
      <c r="BE6" s="235"/>
      <c r="BF6" s="236"/>
      <c r="BG6" s="235"/>
      <c r="BH6" s="236"/>
      <c r="BI6" s="235"/>
      <c r="BJ6" s="236"/>
      <c r="BK6" s="235"/>
      <c r="BL6" s="236"/>
      <c r="BM6" s="235"/>
      <c r="BN6" s="236"/>
      <c r="BO6" s="235"/>
      <c r="BP6" s="236"/>
      <c r="BQ6" s="235"/>
      <c r="BR6" s="236"/>
      <c r="BS6" s="235"/>
      <c r="BT6" s="236"/>
      <c r="BU6" s="235"/>
      <c r="BV6" s="236"/>
      <c r="BW6" s="235"/>
      <c r="BX6" s="236"/>
      <c r="BY6" s="235"/>
      <c r="BZ6" s="236"/>
      <c r="CA6" s="235"/>
      <c r="CB6" s="236"/>
      <c r="CC6" s="235"/>
      <c r="CD6" s="236"/>
      <c r="CE6" s="235"/>
      <c r="CF6" s="236"/>
    </row>
    <row r="7" spans="1:122">
      <c r="C7" s="296" t="s">
        <v>70</v>
      </c>
      <c r="D7" s="240" t="s">
        <v>177</v>
      </c>
      <c r="E7" s="238"/>
      <c r="F7" s="238"/>
      <c r="G7" s="239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I7" s="238"/>
      <c r="AJ7" s="238"/>
      <c r="AK7" s="238"/>
      <c r="AL7" s="238"/>
      <c r="AM7" s="238"/>
      <c r="AN7" s="238"/>
      <c r="AO7" s="238"/>
      <c r="AP7" s="238"/>
      <c r="AQ7" s="238"/>
      <c r="AR7" s="238"/>
      <c r="AS7" s="238"/>
      <c r="AT7" s="238"/>
      <c r="AU7" s="235"/>
      <c r="AV7" s="240" t="s">
        <v>185</v>
      </c>
      <c r="AW7" s="235"/>
      <c r="AX7" s="237" t="s">
        <v>191</v>
      </c>
      <c r="AY7" s="235"/>
      <c r="AZ7" s="240" t="s">
        <v>199</v>
      </c>
      <c r="BA7" s="235"/>
      <c r="BB7" s="240" t="s">
        <v>207</v>
      </c>
      <c r="BC7" s="235"/>
      <c r="BD7" s="240" t="s">
        <v>216</v>
      </c>
      <c r="BE7" s="235"/>
      <c r="BF7" s="240" t="s">
        <v>222</v>
      </c>
      <c r="BG7" s="235"/>
      <c r="BH7" s="240" t="s">
        <v>228</v>
      </c>
      <c r="BI7" s="235"/>
      <c r="BJ7" s="240" t="s">
        <v>234</v>
      </c>
      <c r="BK7" s="235"/>
      <c r="BL7" s="240" t="s">
        <v>222</v>
      </c>
      <c r="BM7" s="235"/>
      <c r="BN7" s="240" t="s">
        <v>247</v>
      </c>
      <c r="BO7" s="235"/>
      <c r="BP7" s="240" t="s">
        <v>216</v>
      </c>
      <c r="BQ7" s="235"/>
      <c r="BR7" s="240" t="s">
        <v>254</v>
      </c>
      <c r="BS7" s="235"/>
      <c r="BT7" s="240" t="s">
        <v>261</v>
      </c>
      <c r="BU7" s="235"/>
      <c r="BV7" s="240"/>
      <c r="BW7" s="235"/>
      <c r="BX7" s="237"/>
      <c r="BY7" s="235"/>
      <c r="BZ7" s="240"/>
      <c r="CA7" s="235"/>
      <c r="CB7" s="240"/>
      <c r="CC7" s="235"/>
      <c r="CD7" s="240"/>
      <c r="CE7" s="235"/>
      <c r="CF7" s="240"/>
    </row>
    <row r="8" spans="1:122">
      <c r="C8" s="296" t="s">
        <v>71</v>
      </c>
      <c r="D8" s="240" t="s">
        <v>178</v>
      </c>
      <c r="E8" s="238"/>
      <c r="F8" s="238"/>
      <c r="G8" s="239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38"/>
      <c r="AF8" s="238"/>
      <c r="AG8" s="238"/>
      <c r="AH8" s="238"/>
      <c r="AI8" s="238"/>
      <c r="AJ8" s="238"/>
      <c r="AK8" s="238"/>
      <c r="AL8" s="238"/>
      <c r="AM8" s="238"/>
      <c r="AN8" s="238"/>
      <c r="AO8" s="238"/>
      <c r="AP8" s="238"/>
      <c r="AQ8" s="238"/>
      <c r="AR8" s="238"/>
      <c r="AS8" s="238"/>
      <c r="AT8" s="238"/>
      <c r="AU8" s="235"/>
      <c r="AV8" s="240" t="s">
        <v>186</v>
      </c>
      <c r="AW8" s="235"/>
      <c r="AX8" s="240" t="s">
        <v>192</v>
      </c>
      <c r="AY8" s="235"/>
      <c r="AZ8" s="240" t="s">
        <v>200</v>
      </c>
      <c r="BA8" s="235"/>
      <c r="BB8" s="240" t="s">
        <v>208</v>
      </c>
      <c r="BC8" s="235"/>
      <c r="BD8" s="240" t="s">
        <v>217</v>
      </c>
      <c r="BE8" s="235"/>
      <c r="BF8" s="240" t="s">
        <v>223</v>
      </c>
      <c r="BG8" s="235"/>
      <c r="BH8" s="240" t="s">
        <v>229</v>
      </c>
      <c r="BI8" s="235"/>
      <c r="BJ8" s="240" t="s">
        <v>235</v>
      </c>
      <c r="BK8" s="235"/>
      <c r="BL8" s="240" t="s">
        <v>241</v>
      </c>
      <c r="BM8" s="235"/>
      <c r="BN8" s="240" t="s">
        <v>248</v>
      </c>
      <c r="BO8" s="235"/>
      <c r="BP8" s="240" t="s">
        <v>268</v>
      </c>
      <c r="BQ8" s="235"/>
      <c r="BR8" s="240" t="s">
        <v>255</v>
      </c>
      <c r="BS8" s="235"/>
      <c r="BT8" s="240" t="s">
        <v>262</v>
      </c>
      <c r="BU8" s="235"/>
      <c r="BV8" s="240"/>
      <c r="BW8" s="235"/>
      <c r="BX8" s="240"/>
      <c r="BY8" s="235"/>
      <c r="BZ8" s="240"/>
      <c r="CA8" s="235"/>
      <c r="CB8" s="240"/>
      <c r="CC8" s="235"/>
      <c r="CD8" s="240"/>
      <c r="CE8" s="235"/>
      <c r="CF8" s="240"/>
    </row>
    <row r="9" spans="1:122">
      <c r="C9" s="296" t="s">
        <v>72</v>
      </c>
      <c r="D9" s="240" t="s">
        <v>179</v>
      </c>
      <c r="E9" s="238"/>
      <c r="F9" s="238"/>
      <c r="G9" s="239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238"/>
      <c r="AI9" s="238"/>
      <c r="AJ9" s="238"/>
      <c r="AK9" s="238"/>
      <c r="AL9" s="238"/>
      <c r="AM9" s="238"/>
      <c r="AN9" s="238"/>
      <c r="AO9" s="238"/>
      <c r="AP9" s="238"/>
      <c r="AQ9" s="238"/>
      <c r="AR9" s="238"/>
      <c r="AS9" s="238"/>
      <c r="AT9" s="238"/>
      <c r="AU9" s="235"/>
      <c r="AV9" s="240" t="s">
        <v>187</v>
      </c>
      <c r="AW9" s="235"/>
      <c r="AX9" s="240" t="s">
        <v>193</v>
      </c>
      <c r="AY9" s="235"/>
      <c r="AZ9" s="240" t="s">
        <v>201</v>
      </c>
      <c r="BA9" s="235"/>
      <c r="BB9" s="240" t="s">
        <v>209</v>
      </c>
      <c r="BC9" s="235"/>
      <c r="BD9" s="240" t="s">
        <v>218</v>
      </c>
      <c r="BE9" s="235"/>
      <c r="BF9" s="240" t="s">
        <v>224</v>
      </c>
      <c r="BG9" s="235"/>
      <c r="BH9" s="240" t="s">
        <v>230</v>
      </c>
      <c r="BI9" s="235"/>
      <c r="BJ9" s="240" t="s">
        <v>236</v>
      </c>
      <c r="BK9" s="235"/>
      <c r="BL9" s="240" t="s">
        <v>242</v>
      </c>
      <c r="BM9" s="235"/>
      <c r="BN9" s="240" t="s">
        <v>249</v>
      </c>
      <c r="BO9" s="235"/>
      <c r="BP9" s="240" t="s">
        <v>269</v>
      </c>
      <c r="BQ9" s="235"/>
      <c r="BR9" s="240" t="s">
        <v>256</v>
      </c>
      <c r="BS9" s="235"/>
      <c r="BT9" s="240" t="s">
        <v>263</v>
      </c>
      <c r="BU9" s="235"/>
      <c r="BV9" s="240"/>
      <c r="BW9" s="235"/>
      <c r="BX9" s="240"/>
      <c r="BY9" s="235"/>
      <c r="BZ9" s="240"/>
      <c r="CA9" s="235"/>
      <c r="CB9" s="240"/>
      <c r="CC9" s="235"/>
      <c r="CD9" s="240"/>
      <c r="CE9" s="235"/>
      <c r="CF9" s="240"/>
    </row>
    <row r="10" spans="1:122">
      <c r="C10" s="296" t="s">
        <v>75</v>
      </c>
      <c r="D10" s="240" t="s">
        <v>180</v>
      </c>
      <c r="E10" s="238"/>
      <c r="F10" s="238"/>
      <c r="G10" s="239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5"/>
      <c r="AV10" s="240" t="s">
        <v>188</v>
      </c>
      <c r="AW10" s="235"/>
      <c r="AX10" s="240" t="s">
        <v>194</v>
      </c>
      <c r="AY10" s="235"/>
      <c r="AZ10" s="240" t="s">
        <v>202</v>
      </c>
      <c r="BA10" s="235"/>
      <c r="BB10" s="240" t="s">
        <v>210</v>
      </c>
      <c r="BC10" s="235"/>
      <c r="BD10" s="240" t="s">
        <v>219</v>
      </c>
      <c r="BE10" s="235"/>
      <c r="BF10" s="240"/>
      <c r="BG10" s="235"/>
      <c r="BH10" s="240" t="s">
        <v>231</v>
      </c>
      <c r="BI10" s="235"/>
      <c r="BJ10" s="240" t="s">
        <v>237</v>
      </c>
      <c r="BK10" s="235"/>
      <c r="BL10" s="240" t="s">
        <v>243</v>
      </c>
      <c r="BM10" s="235"/>
      <c r="BN10" s="240"/>
      <c r="BO10" s="235"/>
      <c r="BP10" s="240"/>
      <c r="BQ10" s="235"/>
      <c r="BR10" s="240" t="s">
        <v>257</v>
      </c>
      <c r="BS10" s="235"/>
      <c r="BT10" s="240" t="s">
        <v>264</v>
      </c>
      <c r="BU10" s="235"/>
      <c r="BV10" s="240"/>
      <c r="BW10" s="235"/>
      <c r="BX10" s="240"/>
      <c r="BY10" s="235"/>
      <c r="BZ10" s="240"/>
      <c r="CA10" s="235"/>
      <c r="CB10" s="240"/>
      <c r="CC10" s="235"/>
      <c r="CD10" s="240"/>
      <c r="CE10" s="235"/>
      <c r="CF10" s="240"/>
    </row>
    <row r="11" spans="1:122">
      <c r="C11" s="296" t="s">
        <v>76</v>
      </c>
      <c r="D11" s="240" t="s">
        <v>181</v>
      </c>
      <c r="E11" s="238"/>
      <c r="F11" s="238"/>
      <c r="G11" s="239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5"/>
      <c r="AV11" s="240" t="s">
        <v>189</v>
      </c>
      <c r="AW11" s="235"/>
      <c r="AX11" s="240" t="s">
        <v>195</v>
      </c>
      <c r="AY11" s="235"/>
      <c r="AZ11" s="240" t="s">
        <v>203</v>
      </c>
      <c r="BA11" s="235"/>
      <c r="BB11" s="240" t="s">
        <v>211</v>
      </c>
      <c r="BC11" s="235"/>
      <c r="BD11" s="240" t="s">
        <v>220</v>
      </c>
      <c r="BE11" s="235"/>
      <c r="BF11" s="240" t="s">
        <v>225</v>
      </c>
      <c r="BG11" s="235"/>
      <c r="BH11" s="240" t="s">
        <v>232</v>
      </c>
      <c r="BI11" s="235"/>
      <c r="BJ11" s="240" t="s">
        <v>238</v>
      </c>
      <c r="BK11" s="235"/>
      <c r="BL11" s="240" t="s">
        <v>244</v>
      </c>
      <c r="BM11" s="235"/>
      <c r="BN11" s="240" t="s">
        <v>250</v>
      </c>
      <c r="BO11" s="235"/>
      <c r="BP11" s="240" t="s">
        <v>270</v>
      </c>
      <c r="BQ11" s="235"/>
      <c r="BR11" s="240" t="s">
        <v>258</v>
      </c>
      <c r="BS11" s="235"/>
      <c r="BT11" s="240" t="s">
        <v>265</v>
      </c>
      <c r="BU11" s="235"/>
      <c r="BV11" s="240"/>
      <c r="BW11" s="235"/>
      <c r="BX11" s="240"/>
      <c r="BY11" s="235"/>
      <c r="BZ11" s="240"/>
      <c r="CA11" s="235"/>
      <c r="CB11" s="240"/>
      <c r="CC11" s="235"/>
      <c r="CD11" s="240"/>
      <c r="CE11" s="235"/>
      <c r="CF11" s="240"/>
    </row>
    <row r="12" spans="1:122">
      <c r="C12" s="296" t="s">
        <v>77</v>
      </c>
      <c r="D12" s="240">
        <v>943994147</v>
      </c>
      <c r="E12" s="238"/>
      <c r="F12" s="238"/>
      <c r="G12" s="239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5"/>
      <c r="AV12" s="240">
        <v>273165815</v>
      </c>
      <c r="AW12" s="235"/>
      <c r="AX12" s="240">
        <v>184693732</v>
      </c>
      <c r="AY12" s="235"/>
      <c r="AZ12" s="240">
        <v>130157835</v>
      </c>
      <c r="BA12" s="235"/>
      <c r="BB12" s="240">
        <v>905838005</v>
      </c>
      <c r="BC12" s="235"/>
      <c r="BD12" s="240">
        <v>400532413</v>
      </c>
      <c r="BE12" s="235"/>
      <c r="BF12" s="240">
        <v>129842327</v>
      </c>
      <c r="BG12" s="235"/>
      <c r="BH12" s="240">
        <v>947543937</v>
      </c>
      <c r="BI12" s="235"/>
      <c r="BJ12" s="240">
        <v>174344327</v>
      </c>
      <c r="BK12" s="235"/>
      <c r="BL12" s="240">
        <v>166545733</v>
      </c>
      <c r="BM12" s="235"/>
      <c r="BN12" s="240">
        <v>914894035</v>
      </c>
      <c r="BO12" s="235"/>
      <c r="BP12" s="240">
        <v>131439004</v>
      </c>
      <c r="BQ12" s="235"/>
      <c r="BR12" s="240">
        <v>133458617</v>
      </c>
      <c r="BS12" s="235"/>
      <c r="BT12" s="240">
        <v>178650362</v>
      </c>
      <c r="BU12" s="235"/>
      <c r="BV12" s="240"/>
      <c r="BW12" s="235"/>
      <c r="BX12" s="240"/>
      <c r="BY12" s="235"/>
      <c r="BZ12" s="240"/>
      <c r="CA12" s="235"/>
      <c r="CB12" s="240"/>
      <c r="CC12" s="235"/>
      <c r="CD12" s="240"/>
      <c r="CE12" s="235"/>
      <c r="CF12" s="240"/>
    </row>
    <row r="13" spans="1:122" s="152" customFormat="1">
      <c r="A13" s="151"/>
      <c r="B13" s="151"/>
      <c r="C13" s="297" t="s">
        <v>73</v>
      </c>
      <c r="D13" s="241">
        <v>29144</v>
      </c>
      <c r="E13" s="242"/>
      <c r="F13" s="242"/>
      <c r="G13" s="243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4"/>
      <c r="AV13" s="241">
        <v>30469</v>
      </c>
      <c r="AW13" s="244"/>
      <c r="AX13" s="241">
        <v>112566</v>
      </c>
      <c r="AY13" s="244"/>
      <c r="AZ13" s="241">
        <v>20219</v>
      </c>
      <c r="BA13" s="244"/>
      <c r="BB13" s="241">
        <v>26900</v>
      </c>
      <c r="BC13" s="244"/>
      <c r="BD13" s="241">
        <v>28260</v>
      </c>
      <c r="BE13" s="244"/>
      <c r="BF13" s="241">
        <v>20852</v>
      </c>
      <c r="BG13" s="244"/>
      <c r="BH13" s="241">
        <v>24599</v>
      </c>
      <c r="BI13" s="244"/>
      <c r="BJ13" s="241">
        <v>25868</v>
      </c>
      <c r="BK13" s="244"/>
      <c r="BL13" s="241">
        <v>22656</v>
      </c>
      <c r="BM13" s="244"/>
      <c r="BN13" s="241">
        <v>24098</v>
      </c>
      <c r="BO13" s="244"/>
      <c r="BP13" s="241">
        <v>19920</v>
      </c>
      <c r="BQ13" s="244"/>
      <c r="BR13" s="241">
        <v>21917</v>
      </c>
      <c r="BS13" s="244"/>
      <c r="BT13" s="241">
        <v>25812</v>
      </c>
      <c r="BU13" s="244"/>
      <c r="BV13" s="241"/>
      <c r="BW13" s="244"/>
      <c r="BX13" s="241"/>
      <c r="BY13" s="244"/>
      <c r="BZ13" s="241"/>
      <c r="CA13" s="244"/>
      <c r="CB13" s="241"/>
      <c r="CC13" s="244"/>
      <c r="CD13" s="241"/>
      <c r="CE13" s="244"/>
      <c r="CF13" s="241"/>
      <c r="CG13" s="151"/>
      <c r="CH13" s="151"/>
      <c r="CI13" s="151"/>
      <c r="CJ13" s="151"/>
      <c r="CK13" s="151"/>
      <c r="CL13" s="151"/>
      <c r="CM13" s="151"/>
      <c r="CN13" s="151"/>
      <c r="CO13" s="151"/>
      <c r="CP13" s="151"/>
      <c r="CQ13" s="151"/>
      <c r="CR13" s="151"/>
      <c r="CS13" s="151"/>
      <c r="CT13" s="151"/>
      <c r="CU13" s="151"/>
      <c r="CV13" s="151"/>
      <c r="CW13" s="151"/>
      <c r="CX13" s="151"/>
      <c r="CY13" s="151"/>
      <c r="CZ13" s="151"/>
      <c r="DA13" s="151"/>
      <c r="DB13" s="151"/>
      <c r="DC13" s="151"/>
      <c r="DD13" s="151"/>
      <c r="DE13" s="151"/>
      <c r="DF13" s="151"/>
      <c r="DG13" s="151"/>
      <c r="DH13" s="151"/>
      <c r="DI13" s="151"/>
      <c r="DJ13" s="151"/>
      <c r="DK13" s="151"/>
      <c r="DL13" s="151"/>
      <c r="DM13" s="151"/>
      <c r="DN13" s="151"/>
      <c r="DO13" s="151"/>
      <c r="DP13" s="151"/>
      <c r="DQ13" s="151"/>
      <c r="DR13" s="151"/>
    </row>
    <row r="14" spans="1:122" s="152" customFormat="1">
      <c r="A14" s="151"/>
      <c r="B14" s="151"/>
      <c r="C14" s="297" t="s">
        <v>74</v>
      </c>
      <c r="D14" s="241">
        <v>39218</v>
      </c>
      <c r="E14" s="242"/>
      <c r="F14" s="242"/>
      <c r="G14" s="243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4"/>
      <c r="AV14" s="241">
        <v>40525</v>
      </c>
      <c r="AW14" s="244"/>
      <c r="AX14" s="241">
        <v>34541</v>
      </c>
      <c r="AY14" s="244"/>
      <c r="AZ14" s="241">
        <v>31048</v>
      </c>
      <c r="BA14" s="244"/>
      <c r="BB14" s="241">
        <v>36297</v>
      </c>
      <c r="BC14" s="244"/>
      <c r="BD14" s="241">
        <v>40252</v>
      </c>
      <c r="BE14" s="244"/>
      <c r="BF14" s="241">
        <v>30376</v>
      </c>
      <c r="BG14" s="244"/>
      <c r="BH14" s="241">
        <v>39114</v>
      </c>
      <c r="BI14" s="244"/>
      <c r="BJ14" s="241">
        <v>35492</v>
      </c>
      <c r="BK14" s="244"/>
      <c r="BL14" s="241">
        <v>34319</v>
      </c>
      <c r="BM14" s="244"/>
      <c r="BN14" s="241">
        <v>35506</v>
      </c>
      <c r="BO14" s="244"/>
      <c r="BP14" s="241">
        <v>29859</v>
      </c>
      <c r="BQ14" s="244"/>
      <c r="BR14" s="241">
        <v>29692</v>
      </c>
      <c r="BS14" s="244"/>
      <c r="BT14" s="241">
        <v>37097</v>
      </c>
      <c r="BU14" s="244"/>
      <c r="BV14" s="241"/>
      <c r="BW14" s="244"/>
      <c r="BX14" s="241"/>
      <c r="BY14" s="244"/>
      <c r="BZ14" s="241"/>
      <c r="CA14" s="244"/>
      <c r="CB14" s="241"/>
      <c r="CC14" s="244"/>
      <c r="CD14" s="241"/>
      <c r="CE14" s="244"/>
      <c r="CF14" s="241"/>
      <c r="CG14" s="151"/>
      <c r="CH14" s="151"/>
      <c r="CI14" s="151"/>
      <c r="CJ14" s="151"/>
      <c r="CK14" s="151"/>
      <c r="CL14" s="151"/>
      <c r="CM14" s="151"/>
      <c r="CN14" s="151"/>
      <c r="CO14" s="151"/>
      <c r="CP14" s="151"/>
      <c r="CQ14" s="151"/>
      <c r="CR14" s="151"/>
      <c r="CS14" s="151"/>
      <c r="CT14" s="151"/>
      <c r="CU14" s="151"/>
      <c r="CV14" s="151"/>
      <c r="CW14" s="151"/>
      <c r="CX14" s="151"/>
      <c r="CY14" s="151"/>
      <c r="CZ14" s="151"/>
      <c r="DA14" s="151"/>
      <c r="DB14" s="151"/>
      <c r="DC14" s="151"/>
      <c r="DD14" s="151"/>
      <c r="DE14" s="151"/>
      <c r="DF14" s="151"/>
      <c r="DG14" s="151"/>
      <c r="DH14" s="151"/>
      <c r="DI14" s="151"/>
      <c r="DJ14" s="151"/>
      <c r="DK14" s="151"/>
      <c r="DL14" s="151"/>
      <c r="DM14" s="151"/>
      <c r="DN14" s="151"/>
      <c r="DO14" s="151"/>
      <c r="DP14" s="151"/>
      <c r="DQ14" s="151"/>
      <c r="DR14" s="151"/>
    </row>
    <row r="15" spans="1:122">
      <c r="C15" s="296" t="s">
        <v>78</v>
      </c>
      <c r="D15" s="240" t="s">
        <v>175</v>
      </c>
      <c r="E15" s="238"/>
      <c r="F15" s="238"/>
      <c r="G15" s="239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5"/>
      <c r="AV15" s="240" t="s">
        <v>176</v>
      </c>
      <c r="AW15" s="235"/>
      <c r="AX15" s="240" t="s">
        <v>196</v>
      </c>
      <c r="AY15" s="235"/>
      <c r="AZ15" s="240" t="s">
        <v>204</v>
      </c>
      <c r="BA15" s="235"/>
      <c r="BB15" s="240" t="s">
        <v>212</v>
      </c>
      <c r="BC15" s="235"/>
      <c r="BD15" s="240" t="s">
        <v>213</v>
      </c>
      <c r="BE15" s="235"/>
      <c r="BF15" s="240" t="s">
        <v>226</v>
      </c>
      <c r="BG15" s="235"/>
      <c r="BH15" s="240" t="s">
        <v>204</v>
      </c>
      <c r="BI15" s="235"/>
      <c r="BJ15" s="240" t="s">
        <v>239</v>
      </c>
      <c r="BK15" s="235"/>
      <c r="BL15" s="240" t="s">
        <v>245</v>
      </c>
      <c r="BM15" s="235"/>
      <c r="BN15" s="240" t="s">
        <v>251</v>
      </c>
      <c r="BO15" s="235"/>
      <c r="BP15" s="240" t="s">
        <v>253</v>
      </c>
      <c r="BQ15" s="235"/>
      <c r="BR15" s="240" t="s">
        <v>266</v>
      </c>
      <c r="BS15" s="235"/>
      <c r="BT15" s="240" t="s">
        <v>272</v>
      </c>
      <c r="BU15" s="235"/>
      <c r="BV15" s="240"/>
      <c r="BW15" s="235"/>
      <c r="BX15" s="240"/>
      <c r="BY15" s="235"/>
      <c r="BZ15" s="240"/>
      <c r="CA15" s="235"/>
      <c r="CB15" s="240"/>
      <c r="CC15" s="235"/>
      <c r="CD15" s="240"/>
      <c r="CE15" s="235"/>
      <c r="CF15" s="240"/>
    </row>
    <row r="16" spans="1:122" s="155" customFormat="1">
      <c r="A16" s="154"/>
      <c r="B16" s="154"/>
      <c r="C16" s="298" t="s">
        <v>173</v>
      </c>
      <c r="D16" s="254" t="s">
        <v>182</v>
      </c>
      <c r="E16" s="255"/>
      <c r="F16" s="255"/>
      <c r="G16" s="256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7"/>
      <c r="AV16" s="254" t="s">
        <v>57</v>
      </c>
      <c r="AW16" s="257"/>
      <c r="AX16" s="254" t="s">
        <v>197</v>
      </c>
      <c r="AY16" s="257"/>
      <c r="AZ16" s="254" t="s">
        <v>205</v>
      </c>
      <c r="BA16" s="257"/>
      <c r="BB16" s="254" t="s">
        <v>205</v>
      </c>
      <c r="BC16" s="257"/>
      <c r="BD16" s="254" t="s">
        <v>215</v>
      </c>
      <c r="BE16" s="257"/>
      <c r="BF16" s="254"/>
      <c r="BG16" s="257"/>
      <c r="BH16" s="254"/>
      <c r="BI16" s="257"/>
      <c r="BJ16" s="254"/>
      <c r="BK16" s="257"/>
      <c r="BL16" s="254"/>
      <c r="BM16" s="257"/>
      <c r="BN16" s="254" t="s">
        <v>197</v>
      </c>
      <c r="BO16" s="257"/>
      <c r="BP16" s="254"/>
      <c r="BQ16" s="257"/>
      <c r="BR16" s="254" t="s">
        <v>259</v>
      </c>
      <c r="BS16" s="257"/>
      <c r="BT16" s="254"/>
      <c r="BU16" s="257"/>
      <c r="BV16" s="254"/>
      <c r="BW16" s="257"/>
      <c r="BX16" s="254"/>
      <c r="BY16" s="257"/>
      <c r="BZ16" s="254"/>
      <c r="CA16" s="257"/>
      <c r="CB16" s="254"/>
      <c r="CC16" s="257"/>
      <c r="CD16" s="254"/>
      <c r="CE16" s="257"/>
      <c r="CF16" s="254"/>
      <c r="CG16" s="154"/>
      <c r="CH16" s="154"/>
      <c r="CI16" s="154"/>
      <c r="CJ16" s="154"/>
      <c r="CK16" s="154"/>
      <c r="CL16" s="154"/>
      <c r="CM16" s="154"/>
      <c r="CN16" s="154"/>
      <c r="CO16" s="154"/>
      <c r="CP16" s="154"/>
      <c r="CQ16" s="154"/>
      <c r="CR16" s="154"/>
      <c r="CS16" s="154"/>
      <c r="CT16" s="154"/>
      <c r="CU16" s="154"/>
      <c r="CV16" s="154"/>
      <c r="CW16" s="154"/>
      <c r="CX16" s="154"/>
      <c r="CY16" s="154"/>
      <c r="CZ16" s="154"/>
      <c r="DA16" s="154"/>
      <c r="DB16" s="154"/>
      <c r="DC16" s="154"/>
      <c r="DD16" s="154"/>
      <c r="DE16" s="154"/>
      <c r="DF16" s="154"/>
      <c r="DG16" s="154"/>
      <c r="DH16" s="154"/>
      <c r="DI16" s="154"/>
      <c r="DJ16" s="154"/>
      <c r="DK16" s="154"/>
      <c r="DL16" s="154"/>
      <c r="DM16" s="154"/>
      <c r="DN16" s="154"/>
      <c r="DO16" s="154"/>
      <c r="DP16" s="154"/>
      <c r="DQ16" s="154"/>
      <c r="DR16" s="154"/>
    </row>
    <row r="17" spans="1:122" s="152" customFormat="1">
      <c r="A17" s="151"/>
      <c r="B17" s="151"/>
      <c r="C17" s="297" t="s">
        <v>79</v>
      </c>
      <c r="D17" s="245" t="s">
        <v>183</v>
      </c>
      <c r="E17" s="246"/>
      <c r="F17" s="246"/>
      <c r="G17" s="247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4"/>
      <c r="AV17" s="245" t="s">
        <v>190</v>
      </c>
      <c r="AW17" s="244"/>
      <c r="AX17" s="245" t="s">
        <v>198</v>
      </c>
      <c r="AY17" s="244"/>
      <c r="AZ17" s="245" t="s">
        <v>206</v>
      </c>
      <c r="BA17" s="244"/>
      <c r="BB17" s="245" t="s">
        <v>214</v>
      </c>
      <c r="BC17" s="244"/>
      <c r="BD17" s="245" t="s">
        <v>221</v>
      </c>
      <c r="BE17" s="244"/>
      <c r="BF17" s="245" t="s">
        <v>227</v>
      </c>
      <c r="BG17" s="244"/>
      <c r="BH17" s="245" t="s">
        <v>233</v>
      </c>
      <c r="BI17" s="244"/>
      <c r="BJ17" s="245" t="s">
        <v>240</v>
      </c>
      <c r="BK17" s="244"/>
      <c r="BL17" s="245" t="s">
        <v>246</v>
      </c>
      <c r="BM17" s="244"/>
      <c r="BN17" s="245" t="s">
        <v>252</v>
      </c>
      <c r="BO17" s="244"/>
      <c r="BP17" s="245" t="s">
        <v>271</v>
      </c>
      <c r="BQ17" s="244"/>
      <c r="BR17" s="245" t="s">
        <v>260</v>
      </c>
      <c r="BS17" s="244"/>
      <c r="BT17" s="245" t="s">
        <v>267</v>
      </c>
      <c r="BU17" s="244"/>
      <c r="BV17" s="245"/>
      <c r="BW17" s="244"/>
      <c r="BX17" s="245"/>
      <c r="BY17" s="244"/>
      <c r="BZ17" s="245"/>
      <c r="CA17" s="244"/>
      <c r="CB17" s="245"/>
      <c r="CC17" s="244"/>
      <c r="CD17" s="245"/>
      <c r="CE17" s="244"/>
      <c r="CF17" s="245"/>
      <c r="CG17" s="151"/>
      <c r="CH17" s="151"/>
      <c r="CI17" s="151"/>
      <c r="CJ17" s="151"/>
      <c r="CK17" s="151"/>
      <c r="CL17" s="151"/>
      <c r="CM17" s="151"/>
      <c r="CN17" s="151"/>
      <c r="CO17" s="151"/>
      <c r="CP17" s="151"/>
      <c r="CQ17" s="151"/>
      <c r="CR17" s="151"/>
      <c r="CS17" s="151"/>
      <c r="CT17" s="151"/>
      <c r="CU17" s="151"/>
      <c r="CV17" s="151"/>
      <c r="CW17" s="151"/>
      <c r="CX17" s="151"/>
      <c r="CY17" s="151"/>
      <c r="CZ17" s="151"/>
      <c r="DA17" s="151"/>
      <c r="DB17" s="151"/>
      <c r="DC17" s="151"/>
      <c r="DD17" s="151"/>
      <c r="DE17" s="151"/>
      <c r="DF17" s="151"/>
      <c r="DG17" s="151"/>
      <c r="DH17" s="151"/>
      <c r="DI17" s="151"/>
      <c r="DJ17" s="151"/>
      <c r="DK17" s="151"/>
      <c r="DL17" s="151"/>
      <c r="DM17" s="151"/>
      <c r="DN17" s="151"/>
      <c r="DO17" s="151"/>
      <c r="DP17" s="151"/>
      <c r="DQ17" s="151"/>
      <c r="DR17" s="151"/>
    </row>
    <row r="18" spans="1:122" s="152" customFormat="1">
      <c r="A18" s="151"/>
      <c r="B18" s="151"/>
      <c r="C18" s="297" t="s">
        <v>80</v>
      </c>
      <c r="D18" s="248">
        <v>38000</v>
      </c>
      <c r="E18" s="249"/>
      <c r="F18" s="249"/>
      <c r="G18" s="250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249"/>
      <c r="AI18" s="249"/>
      <c r="AJ18" s="249"/>
      <c r="AK18" s="249"/>
      <c r="AL18" s="249"/>
      <c r="AM18" s="249"/>
      <c r="AN18" s="249"/>
      <c r="AO18" s="249"/>
      <c r="AP18" s="249"/>
      <c r="AQ18" s="249"/>
      <c r="AR18" s="249"/>
      <c r="AS18" s="249"/>
      <c r="AT18" s="249"/>
      <c r="AU18" s="244"/>
      <c r="AV18" s="248">
        <v>12139</v>
      </c>
      <c r="AW18" s="244"/>
      <c r="AX18" s="248">
        <v>13853</v>
      </c>
      <c r="AY18" s="244"/>
      <c r="AZ18" s="248">
        <v>12886</v>
      </c>
      <c r="BA18" s="244"/>
      <c r="BB18" s="248">
        <v>10931</v>
      </c>
      <c r="BC18" s="244"/>
      <c r="BD18" s="248">
        <v>10505</v>
      </c>
      <c r="BE18" s="244"/>
      <c r="BF18" s="248">
        <v>31339</v>
      </c>
      <c r="BG18" s="244"/>
      <c r="BH18" s="248">
        <v>11405</v>
      </c>
      <c r="BI18" s="244"/>
      <c r="BJ18" s="248">
        <v>13580</v>
      </c>
      <c r="BK18" s="244"/>
      <c r="BL18" s="248">
        <v>10373</v>
      </c>
      <c r="BM18" s="244"/>
      <c r="BN18" s="248">
        <v>15768.87</v>
      </c>
      <c r="BO18" s="244"/>
      <c r="BP18" s="248">
        <v>18135</v>
      </c>
      <c r="BQ18" s="244"/>
      <c r="BR18" s="248">
        <v>23979</v>
      </c>
      <c r="BS18" s="244"/>
      <c r="BT18" s="248">
        <v>19495</v>
      </c>
      <c r="BU18" s="244"/>
      <c r="BV18" s="248"/>
      <c r="BW18" s="244"/>
      <c r="BX18" s="248"/>
      <c r="BY18" s="244"/>
      <c r="BZ18" s="248"/>
      <c r="CA18" s="244"/>
      <c r="CB18" s="248"/>
      <c r="CC18" s="244"/>
      <c r="CD18" s="248"/>
      <c r="CE18" s="244"/>
      <c r="CF18" s="248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1"/>
      <c r="CR18" s="151"/>
      <c r="CS18" s="151"/>
      <c r="CT18" s="151"/>
      <c r="CU18" s="151"/>
      <c r="CV18" s="151"/>
      <c r="CW18" s="151"/>
      <c r="CX18" s="151"/>
      <c r="CY18" s="151"/>
      <c r="CZ18" s="151"/>
      <c r="DA18" s="151"/>
      <c r="DB18" s="151"/>
      <c r="DC18" s="151"/>
      <c r="DD18" s="151"/>
      <c r="DE18" s="151"/>
      <c r="DF18" s="151"/>
      <c r="DG18" s="151"/>
      <c r="DH18" s="151"/>
      <c r="DI18" s="151"/>
      <c r="DJ18" s="151"/>
      <c r="DK18" s="151"/>
      <c r="DL18" s="151"/>
      <c r="DM18" s="151"/>
      <c r="DN18" s="151"/>
      <c r="DO18" s="151"/>
      <c r="DP18" s="151"/>
      <c r="DQ18" s="151"/>
      <c r="DR18" s="151"/>
    </row>
    <row r="19" spans="1:122" s="152" customFormat="1">
      <c r="A19" s="151"/>
      <c r="B19" s="151"/>
      <c r="C19" s="297" t="s">
        <v>81</v>
      </c>
      <c r="D19" s="248">
        <v>2000</v>
      </c>
      <c r="E19" s="249"/>
      <c r="F19" s="249"/>
      <c r="G19" s="250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49"/>
      <c r="AB19" s="249"/>
      <c r="AC19" s="249"/>
      <c r="AD19" s="249"/>
      <c r="AE19" s="249"/>
      <c r="AF19" s="249"/>
      <c r="AG19" s="249"/>
      <c r="AH19" s="249"/>
      <c r="AI19" s="249"/>
      <c r="AJ19" s="249"/>
      <c r="AK19" s="249"/>
      <c r="AL19" s="249"/>
      <c r="AM19" s="249"/>
      <c r="AN19" s="249"/>
      <c r="AO19" s="249"/>
      <c r="AP19" s="249"/>
      <c r="AQ19" s="249"/>
      <c r="AR19" s="249"/>
      <c r="AS19" s="249"/>
      <c r="AT19" s="249"/>
      <c r="AU19" s="244"/>
      <c r="AV19" s="248">
        <v>2000</v>
      </c>
      <c r="AW19" s="244"/>
      <c r="AX19" s="248">
        <v>2000</v>
      </c>
      <c r="AY19" s="244"/>
      <c r="AZ19" s="248">
        <v>2000</v>
      </c>
      <c r="BA19" s="244"/>
      <c r="BB19" s="248">
        <v>2000</v>
      </c>
      <c r="BC19" s="244"/>
      <c r="BD19" s="248">
        <v>3650</v>
      </c>
      <c r="BE19" s="244"/>
      <c r="BF19" s="248">
        <v>3650</v>
      </c>
      <c r="BG19" s="244"/>
      <c r="BH19" s="248">
        <v>3650</v>
      </c>
      <c r="BI19" s="244"/>
      <c r="BJ19" s="248">
        <v>2000</v>
      </c>
      <c r="BK19" s="244"/>
      <c r="BL19" s="248">
        <v>3650</v>
      </c>
      <c r="BM19" s="244"/>
      <c r="BN19" s="248">
        <v>2000</v>
      </c>
      <c r="BO19" s="244"/>
      <c r="BP19" s="248">
        <v>2000</v>
      </c>
      <c r="BQ19" s="244"/>
      <c r="BR19" s="248">
        <v>2000</v>
      </c>
      <c r="BS19" s="244"/>
      <c r="BT19" s="248">
        <v>2000</v>
      </c>
      <c r="BU19" s="244"/>
      <c r="BV19" s="248"/>
      <c r="BW19" s="244"/>
      <c r="BX19" s="248"/>
      <c r="BY19" s="244"/>
      <c r="BZ19" s="248"/>
      <c r="CA19" s="244"/>
      <c r="CB19" s="248"/>
      <c r="CC19" s="244"/>
      <c r="CD19" s="248"/>
      <c r="CE19" s="244"/>
      <c r="CF19" s="248"/>
      <c r="CG19" s="151"/>
      <c r="CH19" s="151"/>
      <c r="CI19" s="151"/>
      <c r="CJ19" s="151"/>
      <c r="CK19" s="151"/>
      <c r="CL19" s="151"/>
      <c r="CM19" s="151"/>
      <c r="CN19" s="151"/>
      <c r="CO19" s="151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151"/>
      <c r="DA19" s="151"/>
      <c r="DB19" s="151"/>
      <c r="DC19" s="151"/>
      <c r="DD19" s="151"/>
      <c r="DE19" s="151"/>
      <c r="DF19" s="151"/>
      <c r="DG19" s="151"/>
      <c r="DH19" s="151"/>
      <c r="DI19" s="151"/>
      <c r="DJ19" s="151"/>
      <c r="DK19" s="151"/>
      <c r="DL19" s="151"/>
      <c r="DM19" s="151"/>
      <c r="DN19" s="151"/>
      <c r="DO19" s="151"/>
      <c r="DP19" s="151"/>
      <c r="DQ19" s="151"/>
      <c r="DR19" s="151"/>
    </row>
    <row r="20" spans="1:122" s="152" customFormat="1">
      <c r="A20" s="151"/>
      <c r="B20" s="151"/>
      <c r="C20" s="297" t="s">
        <v>82</v>
      </c>
      <c r="D20" s="248">
        <v>26000</v>
      </c>
      <c r="E20" s="249"/>
      <c r="F20" s="249"/>
      <c r="G20" s="250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  <c r="AJ20" s="249"/>
      <c r="AK20" s="249"/>
      <c r="AL20" s="249"/>
      <c r="AM20" s="249"/>
      <c r="AN20" s="249"/>
      <c r="AO20" s="249"/>
      <c r="AP20" s="249"/>
      <c r="AQ20" s="249"/>
      <c r="AR20" s="249"/>
      <c r="AS20" s="249"/>
      <c r="AT20" s="249"/>
      <c r="AU20" s="244"/>
      <c r="AV20" s="248">
        <v>6939.36</v>
      </c>
      <c r="AW20" s="244"/>
      <c r="AX20" s="248">
        <v>9753.9</v>
      </c>
      <c r="AY20" s="244"/>
      <c r="AZ20" s="248">
        <v>10386</v>
      </c>
      <c r="BA20" s="244"/>
      <c r="BB20" s="248">
        <v>7761</v>
      </c>
      <c r="BC20" s="244"/>
      <c r="BD20" s="248">
        <v>2357.9899999999998</v>
      </c>
      <c r="BE20" s="244"/>
      <c r="BF20" s="248">
        <v>21547.08</v>
      </c>
      <c r="BG20" s="244"/>
      <c r="BH20" s="248">
        <v>8448.6200000000008</v>
      </c>
      <c r="BI20" s="244"/>
      <c r="BJ20" s="248">
        <v>10473.620000000001</v>
      </c>
      <c r="BK20" s="244"/>
      <c r="BL20" s="248">
        <v>7735.27</v>
      </c>
      <c r="BM20" s="244"/>
      <c r="BN20" s="248">
        <v>12313.58</v>
      </c>
      <c r="BO20" s="244"/>
      <c r="BP20" s="248">
        <v>14037.39</v>
      </c>
      <c r="BQ20" s="244"/>
      <c r="BR20" s="248">
        <v>16345.01</v>
      </c>
      <c r="BS20" s="244"/>
      <c r="BT20" s="248">
        <v>8580.2000000000007</v>
      </c>
      <c r="BU20" s="244"/>
      <c r="BV20" s="248"/>
      <c r="BW20" s="244"/>
      <c r="BX20" s="248"/>
      <c r="BY20" s="244"/>
      <c r="BZ20" s="248"/>
      <c r="CA20" s="244"/>
      <c r="CB20" s="248"/>
      <c r="CC20" s="244"/>
      <c r="CD20" s="248"/>
      <c r="CE20" s="244"/>
      <c r="CF20" s="248"/>
      <c r="CG20" s="151"/>
      <c r="CH20" s="151"/>
      <c r="CI20" s="151"/>
      <c r="CJ20" s="151"/>
      <c r="CK20" s="151"/>
      <c r="CL20" s="151"/>
      <c r="CM20" s="151"/>
      <c r="CN20" s="151"/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151"/>
      <c r="DA20" s="151"/>
      <c r="DB20" s="151"/>
      <c r="DC20" s="151"/>
      <c r="DD20" s="151"/>
      <c r="DE20" s="151"/>
      <c r="DF20" s="151"/>
      <c r="DG20" s="151"/>
      <c r="DH20" s="151"/>
      <c r="DI20" s="151"/>
      <c r="DJ20" s="151"/>
      <c r="DK20" s="151"/>
      <c r="DL20" s="151"/>
      <c r="DM20" s="151"/>
      <c r="DN20" s="151"/>
      <c r="DO20" s="151"/>
      <c r="DP20" s="151"/>
      <c r="DQ20" s="151"/>
      <c r="DR20" s="151"/>
    </row>
    <row r="21" spans="1:122" s="152" customFormat="1">
      <c r="A21" s="151"/>
      <c r="B21" s="151"/>
      <c r="C21" s="297" t="s">
        <v>93</v>
      </c>
      <c r="D21" s="248">
        <v>5000</v>
      </c>
      <c r="E21" s="249"/>
      <c r="F21" s="249"/>
      <c r="G21" s="250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49"/>
      <c r="AS21" s="249"/>
      <c r="AT21" s="249"/>
      <c r="AU21" s="244"/>
      <c r="AV21" s="248">
        <v>0</v>
      </c>
      <c r="AW21" s="244"/>
      <c r="AX21" s="248">
        <v>3714.69</v>
      </c>
      <c r="AY21" s="244"/>
      <c r="AZ21" s="248">
        <v>3453.19</v>
      </c>
      <c r="BA21" s="244"/>
      <c r="BB21" s="248">
        <v>2999.23</v>
      </c>
      <c r="BC21" s="244"/>
      <c r="BD21" s="248">
        <v>0</v>
      </c>
      <c r="BE21" s="244"/>
      <c r="BF21" s="248">
        <v>8404.99</v>
      </c>
      <c r="BG21" s="244"/>
      <c r="BH21" s="248">
        <v>3057.58</v>
      </c>
      <c r="BI21" s="244"/>
      <c r="BJ21" s="248">
        <v>3640.94</v>
      </c>
      <c r="BK21" s="244"/>
      <c r="BL21" s="248">
        <v>2752.49</v>
      </c>
      <c r="BM21" s="244"/>
      <c r="BN21" s="248">
        <v>4207.5200000000004</v>
      </c>
      <c r="BO21" s="244"/>
      <c r="BP21" s="248">
        <v>4652.09</v>
      </c>
      <c r="BQ21" s="244"/>
      <c r="BR21" s="248">
        <v>6583.07</v>
      </c>
      <c r="BS21" s="244"/>
      <c r="BT21" s="248">
        <v>5176.43</v>
      </c>
      <c r="BU21" s="244"/>
      <c r="BV21" s="248"/>
      <c r="BW21" s="244"/>
      <c r="BX21" s="248"/>
      <c r="BY21" s="244"/>
      <c r="BZ21" s="248"/>
      <c r="CA21" s="244"/>
      <c r="CB21" s="248"/>
      <c r="CC21" s="244"/>
      <c r="CD21" s="248"/>
      <c r="CE21" s="244"/>
      <c r="CF21" s="248"/>
      <c r="CG21" s="151"/>
      <c r="CH21" s="151"/>
      <c r="CI21" s="151"/>
      <c r="CJ21" s="151"/>
      <c r="CK21" s="151"/>
      <c r="CL21" s="151"/>
      <c r="CM21" s="151"/>
      <c r="CN21" s="151"/>
      <c r="CO21" s="151"/>
      <c r="CP21" s="151"/>
      <c r="CQ21" s="151"/>
      <c r="CR21" s="151"/>
      <c r="CS21" s="151"/>
      <c r="CT21" s="151"/>
      <c r="CU21" s="151"/>
      <c r="CV21" s="151"/>
      <c r="CW21" s="151"/>
      <c r="CX21" s="151"/>
      <c r="CY21" s="151"/>
      <c r="CZ21" s="151"/>
      <c r="DA21" s="151"/>
      <c r="DB21" s="151"/>
      <c r="DC21" s="151"/>
      <c r="DD21" s="151"/>
      <c r="DE21" s="151"/>
      <c r="DF21" s="151"/>
      <c r="DG21" s="151"/>
      <c r="DH21" s="151"/>
      <c r="DI21" s="151"/>
      <c r="DJ21" s="151"/>
      <c r="DK21" s="151"/>
      <c r="DL21" s="151"/>
      <c r="DM21" s="151"/>
      <c r="DN21" s="151"/>
      <c r="DO21" s="151"/>
      <c r="DP21" s="151"/>
      <c r="DQ21" s="151"/>
      <c r="DR21" s="151"/>
    </row>
    <row r="22" spans="1:122" s="138" customFormat="1">
      <c r="C22" s="153"/>
      <c r="D22" s="251"/>
      <c r="E22" s="252"/>
      <c r="F22" s="252"/>
      <c r="G22" s="253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35"/>
      <c r="AV22" s="251"/>
      <c r="AW22" s="235"/>
      <c r="AX22" s="251"/>
      <c r="AY22" s="235"/>
      <c r="AZ22" s="251"/>
      <c r="BA22" s="235"/>
      <c r="BB22" s="251"/>
      <c r="BC22" s="235"/>
      <c r="BD22" s="251"/>
      <c r="BE22" s="235"/>
      <c r="BF22" s="251"/>
      <c r="BG22" s="235"/>
      <c r="BH22" s="251"/>
      <c r="BI22" s="235"/>
      <c r="BJ22" s="251"/>
      <c r="BK22" s="235"/>
      <c r="BL22" s="251"/>
      <c r="BM22" s="235"/>
      <c r="BN22" s="251"/>
      <c r="BO22" s="235"/>
      <c r="BP22" s="251"/>
      <c r="BQ22" s="235"/>
      <c r="BR22" s="251"/>
      <c r="BS22" s="235"/>
      <c r="BT22" s="251"/>
      <c r="BU22" s="235"/>
      <c r="BV22" s="251"/>
      <c r="BW22" s="235"/>
      <c r="BX22" s="251"/>
      <c r="BY22" s="235"/>
      <c r="BZ22" s="251"/>
      <c r="CA22" s="235"/>
      <c r="CB22" s="251"/>
      <c r="CC22" s="235"/>
      <c r="CD22" s="251"/>
      <c r="CE22" s="235"/>
      <c r="CF22" s="251"/>
    </row>
    <row r="23" spans="1:122" s="155" customFormat="1">
      <c r="A23" s="154"/>
      <c r="B23" s="154"/>
      <c r="C23" s="298" t="s">
        <v>83</v>
      </c>
      <c r="D23" s="254" t="s">
        <v>94</v>
      </c>
      <c r="E23" s="255"/>
      <c r="F23" s="255"/>
      <c r="G23" s="256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7"/>
      <c r="AV23" s="254" t="s">
        <v>94</v>
      </c>
      <c r="AW23" s="257"/>
      <c r="AX23" s="254" t="s">
        <v>94</v>
      </c>
      <c r="AY23" s="257"/>
      <c r="AZ23" s="254" t="s">
        <v>172</v>
      </c>
      <c r="BA23" s="257"/>
      <c r="BB23" s="254"/>
      <c r="BC23" s="257"/>
      <c r="BD23" s="254"/>
      <c r="BE23" s="257"/>
      <c r="BF23" s="254"/>
      <c r="BG23" s="257"/>
      <c r="BH23" s="254"/>
      <c r="BI23" s="257"/>
      <c r="BJ23" s="254"/>
      <c r="BK23" s="257"/>
      <c r="BL23" s="254"/>
      <c r="BM23" s="257"/>
      <c r="BN23" s="254"/>
      <c r="BO23" s="257"/>
      <c r="BP23" s="254"/>
      <c r="BQ23" s="257"/>
      <c r="BR23" s="254"/>
      <c r="BS23" s="257"/>
      <c r="BT23" s="254"/>
      <c r="BU23" s="257"/>
      <c r="BV23" s="254"/>
      <c r="BW23" s="257"/>
      <c r="BX23" s="254"/>
      <c r="BY23" s="257"/>
      <c r="BZ23" s="254"/>
      <c r="CA23" s="257"/>
      <c r="CB23" s="254"/>
      <c r="CC23" s="257"/>
      <c r="CD23" s="254"/>
      <c r="CE23" s="257"/>
      <c r="CF23" s="254" t="s">
        <v>94</v>
      </c>
      <c r="CG23" s="154"/>
      <c r="CH23" s="154"/>
      <c r="CI23" s="154"/>
      <c r="CJ23" s="154"/>
      <c r="CK23" s="154"/>
      <c r="CL23" s="154"/>
      <c r="CM23" s="154"/>
      <c r="CN23" s="154"/>
      <c r="CO23" s="154"/>
      <c r="CP23" s="154"/>
      <c r="CQ23" s="154"/>
      <c r="CR23" s="154"/>
      <c r="CS23" s="154"/>
      <c r="CT23" s="154"/>
      <c r="CU23" s="154"/>
      <c r="CV23" s="154"/>
      <c r="CW23" s="154"/>
      <c r="CX23" s="154"/>
      <c r="CY23" s="154"/>
      <c r="CZ23" s="154"/>
      <c r="DA23" s="154"/>
      <c r="DB23" s="154"/>
      <c r="DC23" s="154"/>
      <c r="DD23" s="154"/>
      <c r="DE23" s="154"/>
      <c r="DF23" s="154"/>
      <c r="DG23" s="154"/>
      <c r="DH23" s="154"/>
      <c r="DI23" s="154"/>
      <c r="DJ23" s="154"/>
      <c r="DK23" s="154"/>
      <c r="DL23" s="154"/>
      <c r="DM23" s="154"/>
      <c r="DN23" s="154"/>
      <c r="DO23" s="154"/>
      <c r="DP23" s="154"/>
      <c r="DQ23" s="154"/>
      <c r="DR23" s="154"/>
    </row>
    <row r="24" spans="1:122">
      <c r="C24" s="296" t="s">
        <v>84</v>
      </c>
      <c r="D24" s="258">
        <v>42094</v>
      </c>
      <c r="E24" s="259"/>
      <c r="F24" s="259"/>
      <c r="G24" s="260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35"/>
      <c r="AV24" s="258">
        <v>42094</v>
      </c>
      <c r="AW24" s="235"/>
      <c r="AX24" s="258">
        <v>42094</v>
      </c>
      <c r="AY24" s="235"/>
      <c r="AZ24" s="258">
        <v>42094</v>
      </c>
      <c r="BA24" s="235"/>
      <c r="BB24" s="258">
        <v>42100</v>
      </c>
      <c r="BC24" s="235"/>
      <c r="BD24" s="258">
        <v>42101</v>
      </c>
      <c r="BE24" s="235"/>
      <c r="BF24" s="258">
        <v>42100</v>
      </c>
      <c r="BG24" s="235"/>
      <c r="BH24" s="258">
        <v>42100</v>
      </c>
      <c r="BI24" s="235"/>
      <c r="BJ24" s="258">
        <v>42100</v>
      </c>
      <c r="BK24" s="235"/>
      <c r="BL24" s="258">
        <v>42100</v>
      </c>
      <c r="BM24" s="235"/>
      <c r="BN24" s="258">
        <v>42100</v>
      </c>
      <c r="BO24" s="235"/>
      <c r="BP24" s="258">
        <v>42101</v>
      </c>
      <c r="BQ24" s="235"/>
      <c r="BR24" s="258">
        <v>42100</v>
      </c>
      <c r="BS24" s="235"/>
      <c r="BT24" s="258">
        <v>42100</v>
      </c>
      <c r="BU24" s="235"/>
      <c r="BV24" s="258"/>
      <c r="BW24" s="235"/>
      <c r="BX24" s="258"/>
      <c r="BY24" s="235"/>
      <c r="BZ24" s="258"/>
      <c r="CA24" s="235"/>
      <c r="CB24" s="258"/>
      <c r="CC24" s="235"/>
      <c r="CD24" s="258"/>
      <c r="CE24" s="235"/>
      <c r="CF24" s="258"/>
    </row>
    <row r="25" spans="1:122">
      <c r="C25" s="296" t="s">
        <v>170</v>
      </c>
      <c r="D25" s="258">
        <v>42081</v>
      </c>
      <c r="E25" s="259"/>
      <c r="F25" s="259"/>
      <c r="G25" s="260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35"/>
      <c r="AV25" s="258">
        <v>34409</v>
      </c>
      <c r="AW25" s="235"/>
      <c r="AX25" s="258">
        <v>42095</v>
      </c>
      <c r="AY25" s="235"/>
      <c r="AZ25" s="258">
        <v>42087</v>
      </c>
      <c r="BA25" s="235"/>
      <c r="BB25" s="258">
        <v>42095</v>
      </c>
      <c r="BC25" s="235"/>
      <c r="BD25" s="258">
        <v>42101</v>
      </c>
      <c r="BE25" s="235"/>
      <c r="BF25" s="258">
        <v>42100</v>
      </c>
      <c r="BG25" s="235"/>
      <c r="BH25" s="258">
        <v>42100</v>
      </c>
      <c r="BI25" s="235"/>
      <c r="BJ25" s="258">
        <v>42093</v>
      </c>
      <c r="BK25" s="235"/>
      <c r="BL25" s="258">
        <v>42093</v>
      </c>
      <c r="BM25" s="235"/>
      <c r="BN25" s="258">
        <v>42100</v>
      </c>
      <c r="BO25" s="235"/>
      <c r="BP25" s="258">
        <v>42100</v>
      </c>
      <c r="BQ25" s="235"/>
      <c r="BR25" s="258">
        <v>42093</v>
      </c>
      <c r="BS25" s="235"/>
      <c r="BT25" s="258">
        <v>42093</v>
      </c>
      <c r="BU25" s="235"/>
      <c r="BV25" s="258"/>
      <c r="BW25" s="235"/>
      <c r="BX25" s="258"/>
      <c r="BY25" s="235"/>
      <c r="BZ25" s="258"/>
      <c r="CA25" s="235"/>
      <c r="CB25" s="258"/>
      <c r="CC25" s="235"/>
      <c r="CD25" s="258"/>
      <c r="CE25" s="235"/>
      <c r="CF25" s="258"/>
    </row>
    <row r="26" spans="1:122">
      <c r="C26" s="296" t="s">
        <v>85</v>
      </c>
      <c r="D26" s="258">
        <v>42081</v>
      </c>
      <c r="E26" s="259"/>
      <c r="F26" s="259"/>
      <c r="G26" s="260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35"/>
      <c r="AV26" s="258">
        <v>42097</v>
      </c>
      <c r="AW26" s="235"/>
      <c r="AX26" s="258">
        <v>42095</v>
      </c>
      <c r="AY26" s="235"/>
      <c r="AZ26" s="258">
        <v>42093</v>
      </c>
      <c r="BA26" s="235"/>
      <c r="BB26" s="258">
        <v>42100</v>
      </c>
      <c r="BC26" s="235"/>
      <c r="BD26" s="258">
        <v>42101</v>
      </c>
      <c r="BE26" s="235"/>
      <c r="BF26" s="258">
        <v>42095</v>
      </c>
      <c r="BG26" s="235"/>
      <c r="BH26" s="258">
        <v>42100</v>
      </c>
      <c r="BI26" s="235"/>
      <c r="BJ26" s="258">
        <v>42090</v>
      </c>
      <c r="BK26" s="235"/>
      <c r="BL26" s="258">
        <v>42100</v>
      </c>
      <c r="BM26" s="235"/>
      <c r="BN26" s="258">
        <v>42095</v>
      </c>
      <c r="BO26" s="235"/>
      <c r="BP26" s="258">
        <v>42100</v>
      </c>
      <c r="BQ26" s="235"/>
      <c r="BR26" s="258">
        <v>42087</v>
      </c>
      <c r="BS26" s="235"/>
      <c r="BT26" s="258">
        <v>42086</v>
      </c>
      <c r="BU26" s="235"/>
      <c r="BV26" s="258"/>
      <c r="BW26" s="235"/>
      <c r="BX26" s="258"/>
      <c r="BY26" s="235"/>
      <c r="BZ26" s="258"/>
      <c r="CA26" s="235"/>
      <c r="CB26" s="258"/>
      <c r="CC26" s="235"/>
      <c r="CD26" s="258"/>
      <c r="CE26" s="235"/>
      <c r="CF26" s="258"/>
    </row>
    <row r="27" spans="1:122">
      <c r="C27" s="296" t="s">
        <v>86</v>
      </c>
      <c r="D27" s="258">
        <v>42081</v>
      </c>
      <c r="E27" s="259"/>
      <c r="F27" s="259"/>
      <c r="G27" s="260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35"/>
      <c r="AV27" s="258">
        <v>42135</v>
      </c>
      <c r="AW27" s="235"/>
      <c r="AX27" s="258">
        <v>42093</v>
      </c>
      <c r="AY27" s="235"/>
      <c r="AZ27" s="258">
        <v>42087</v>
      </c>
      <c r="BA27" s="235"/>
      <c r="BB27" s="258">
        <v>42090</v>
      </c>
      <c r="BC27" s="235"/>
      <c r="BD27" s="258">
        <f>BD26</f>
        <v>42101</v>
      </c>
      <c r="BE27" s="235"/>
      <c r="BF27" s="258">
        <f>BF26</f>
        <v>42095</v>
      </c>
      <c r="BG27" s="235"/>
      <c r="BH27" s="258">
        <v>42095</v>
      </c>
      <c r="BI27" s="235"/>
      <c r="BJ27" s="258">
        <v>42093</v>
      </c>
      <c r="BK27" s="235"/>
      <c r="BL27" s="258">
        <v>42095</v>
      </c>
      <c r="BM27" s="235">
        <v>0</v>
      </c>
      <c r="BN27" s="258">
        <v>42093</v>
      </c>
      <c r="BO27" s="235"/>
      <c r="BP27" s="258">
        <v>42093</v>
      </c>
      <c r="BQ27" s="235"/>
      <c r="BR27" s="258">
        <v>42087</v>
      </c>
      <c r="BS27" s="235"/>
      <c r="BT27" s="258">
        <f>BT26</f>
        <v>42086</v>
      </c>
      <c r="BU27" s="235"/>
      <c r="BV27" s="258">
        <f>BV26</f>
        <v>0</v>
      </c>
      <c r="BW27" s="235"/>
      <c r="BX27" s="258">
        <f>BX26</f>
        <v>0</v>
      </c>
      <c r="BY27" s="235"/>
      <c r="BZ27" s="258">
        <f>BZ26</f>
        <v>0</v>
      </c>
      <c r="CA27" s="235"/>
      <c r="CB27" s="258">
        <f>CB26</f>
        <v>0</v>
      </c>
      <c r="CC27" s="235"/>
      <c r="CD27" s="258">
        <f>CD26</f>
        <v>0</v>
      </c>
      <c r="CE27" s="235"/>
      <c r="CF27" s="258">
        <f>CF26</f>
        <v>0</v>
      </c>
    </row>
    <row r="28" spans="1:122">
      <c r="C28" s="296" t="s">
        <v>87</v>
      </c>
      <c r="D28" s="258">
        <v>42081</v>
      </c>
      <c r="E28" s="259"/>
      <c r="F28" s="259"/>
      <c r="G28" s="260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35"/>
      <c r="AV28" s="258">
        <v>42463</v>
      </c>
      <c r="AW28" s="235"/>
      <c r="AX28" s="258">
        <v>42095</v>
      </c>
      <c r="AY28" s="235"/>
      <c r="AZ28" s="258">
        <v>42087</v>
      </c>
      <c r="BA28" s="235"/>
      <c r="BB28" s="258">
        <f>BB26</f>
        <v>42100</v>
      </c>
      <c r="BC28" s="235"/>
      <c r="BD28" s="258">
        <f>BD26</f>
        <v>42101</v>
      </c>
      <c r="BE28" s="235"/>
      <c r="BF28" s="258">
        <f>BF26</f>
        <v>42095</v>
      </c>
      <c r="BG28" s="235"/>
      <c r="BH28" s="258">
        <v>42095</v>
      </c>
      <c r="BI28" s="235"/>
      <c r="BJ28" s="258">
        <f>BJ26</f>
        <v>42090</v>
      </c>
      <c r="BK28" s="235"/>
      <c r="BL28" s="258">
        <v>42095</v>
      </c>
      <c r="BM28" s="235"/>
      <c r="BN28" s="258">
        <v>42093</v>
      </c>
      <c r="BO28" s="235"/>
      <c r="BP28" s="258">
        <v>42093</v>
      </c>
      <c r="BQ28" s="235"/>
      <c r="BR28" s="258">
        <f>BR26</f>
        <v>42087</v>
      </c>
      <c r="BS28" s="235"/>
      <c r="BT28" s="258">
        <f>BT26</f>
        <v>42086</v>
      </c>
      <c r="BU28" s="235"/>
      <c r="BV28" s="258">
        <f>BV26</f>
        <v>0</v>
      </c>
      <c r="BW28" s="235"/>
      <c r="BX28" s="258">
        <f>BX26</f>
        <v>0</v>
      </c>
      <c r="BY28" s="235"/>
      <c r="BZ28" s="258">
        <f>BZ26</f>
        <v>0</v>
      </c>
      <c r="CA28" s="235"/>
      <c r="CB28" s="258">
        <f>CB26</f>
        <v>0</v>
      </c>
      <c r="CC28" s="235"/>
      <c r="CD28" s="258">
        <f>CD26</f>
        <v>0</v>
      </c>
      <c r="CE28" s="235"/>
      <c r="CF28" s="258">
        <f>CF26</f>
        <v>0</v>
      </c>
    </row>
    <row r="29" spans="1:122">
      <c r="C29" s="296" t="s">
        <v>88</v>
      </c>
      <c r="D29" s="258">
        <v>42081</v>
      </c>
      <c r="E29" s="259"/>
      <c r="F29" s="259"/>
      <c r="G29" s="260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35"/>
      <c r="AV29" s="258">
        <v>42463</v>
      </c>
      <c r="AW29" s="235"/>
      <c r="AX29" s="258">
        <v>42095</v>
      </c>
      <c r="AY29" s="235"/>
      <c r="AZ29" s="258">
        <v>42087</v>
      </c>
      <c r="BA29" s="235"/>
      <c r="BB29" s="258">
        <v>42089</v>
      </c>
      <c r="BC29" s="235"/>
      <c r="BD29" s="258">
        <v>42101</v>
      </c>
      <c r="BE29" s="235"/>
      <c r="BF29" s="258">
        <v>42095</v>
      </c>
      <c r="BG29" s="235"/>
      <c r="BH29" s="258">
        <v>42095</v>
      </c>
      <c r="BI29" s="235"/>
      <c r="BJ29" s="258">
        <v>42093</v>
      </c>
      <c r="BK29" s="235"/>
      <c r="BL29" s="258">
        <v>42095</v>
      </c>
      <c r="BM29" s="235"/>
      <c r="BN29" s="258">
        <v>42093</v>
      </c>
      <c r="BO29" s="235"/>
      <c r="BP29" s="258">
        <v>42100</v>
      </c>
      <c r="BQ29" s="235"/>
      <c r="BR29" s="258">
        <v>42086</v>
      </c>
      <c r="BS29" s="235"/>
      <c r="BT29" s="258">
        <v>42088</v>
      </c>
      <c r="BU29" s="235"/>
      <c r="BV29" s="258"/>
      <c r="BW29" s="235"/>
      <c r="BX29" s="258"/>
      <c r="BY29" s="235"/>
      <c r="BZ29" s="258"/>
      <c r="CA29" s="235"/>
      <c r="CB29" s="258"/>
      <c r="CC29" s="235"/>
      <c r="CD29" s="258"/>
      <c r="CE29" s="235"/>
      <c r="CF29" s="258"/>
    </row>
    <row r="30" spans="1:122">
      <c r="C30" s="296" t="s">
        <v>89</v>
      </c>
      <c r="D30" s="258">
        <v>42081</v>
      </c>
      <c r="E30" s="259"/>
      <c r="F30" s="259"/>
      <c r="G30" s="260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35"/>
      <c r="AV30" s="258">
        <v>42463</v>
      </c>
      <c r="AW30" s="235"/>
      <c r="AX30" s="258">
        <v>42095</v>
      </c>
      <c r="AY30" s="235"/>
      <c r="AZ30" s="258">
        <v>42087</v>
      </c>
      <c r="BA30" s="235"/>
      <c r="BB30" s="258">
        <v>42089</v>
      </c>
      <c r="BC30" s="235"/>
      <c r="BD30" s="258">
        <v>42101</v>
      </c>
      <c r="BE30" s="235"/>
      <c r="BF30" s="258">
        <v>42095</v>
      </c>
      <c r="BG30" s="235"/>
      <c r="BH30" s="258">
        <v>42094</v>
      </c>
      <c r="BI30" s="235"/>
      <c r="BJ30" s="258">
        <v>42090</v>
      </c>
      <c r="BK30" s="235"/>
      <c r="BL30" s="258">
        <v>42094</v>
      </c>
      <c r="BM30" s="235"/>
      <c r="BN30" s="258">
        <v>42095</v>
      </c>
      <c r="BO30" s="235"/>
      <c r="BP30" s="258">
        <v>42093</v>
      </c>
      <c r="BQ30" s="235"/>
      <c r="BR30" s="258">
        <v>42087</v>
      </c>
      <c r="BS30" s="235"/>
      <c r="BT30" s="258">
        <v>42086</v>
      </c>
      <c r="BU30" s="235"/>
      <c r="BV30" s="258"/>
      <c r="BW30" s="235"/>
      <c r="BX30" s="258"/>
      <c r="BY30" s="235"/>
      <c r="BZ30" s="258"/>
      <c r="CA30" s="235"/>
      <c r="CB30" s="258"/>
      <c r="CC30" s="235"/>
      <c r="CD30" s="258"/>
      <c r="CE30" s="235"/>
      <c r="CF30" s="258"/>
    </row>
    <row r="31" spans="1:122">
      <c r="C31" s="296" t="s">
        <v>90</v>
      </c>
      <c r="D31" s="240" t="s">
        <v>114</v>
      </c>
      <c r="E31" s="238"/>
      <c r="F31" s="238"/>
      <c r="G31" s="239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AK31" s="238"/>
      <c r="AL31" s="238"/>
      <c r="AM31" s="238"/>
      <c r="AN31" s="238"/>
      <c r="AO31" s="238"/>
      <c r="AP31" s="238"/>
      <c r="AQ31" s="238"/>
      <c r="AR31" s="238"/>
      <c r="AS31" s="238"/>
      <c r="AT31" s="238"/>
      <c r="AU31" s="235"/>
      <c r="AV31" s="240" t="s">
        <v>114</v>
      </c>
      <c r="AW31" s="235"/>
      <c r="AX31" s="240" t="s">
        <v>114</v>
      </c>
      <c r="AY31" s="235"/>
      <c r="AZ31" s="240" t="s">
        <v>114</v>
      </c>
      <c r="BA31" s="235"/>
      <c r="BB31" s="240" t="s">
        <v>114</v>
      </c>
      <c r="BC31" s="235"/>
      <c r="BD31" s="240" t="s">
        <v>114</v>
      </c>
      <c r="BE31" s="235"/>
      <c r="BF31" s="240" t="s">
        <v>114</v>
      </c>
      <c r="BG31" s="235"/>
      <c r="BH31" s="240" t="s">
        <v>114</v>
      </c>
      <c r="BI31" s="235"/>
      <c r="BJ31" s="258" t="s">
        <v>114</v>
      </c>
      <c r="BK31" s="235"/>
      <c r="BL31" s="240" t="s">
        <v>114</v>
      </c>
      <c r="BM31" s="235"/>
      <c r="BN31" s="240" t="s">
        <v>114</v>
      </c>
      <c r="BO31" s="235"/>
      <c r="BP31" s="240" t="s">
        <v>114</v>
      </c>
      <c r="BQ31" s="235"/>
      <c r="BR31" s="240" t="s">
        <v>114</v>
      </c>
      <c r="BS31" s="235"/>
      <c r="BT31" s="240" t="s">
        <v>114</v>
      </c>
      <c r="BU31" s="235"/>
      <c r="BV31" s="240"/>
      <c r="BW31" s="235"/>
      <c r="BX31" s="240"/>
      <c r="BY31" s="235"/>
      <c r="BZ31" s="240"/>
      <c r="CA31" s="235"/>
      <c r="CB31" s="240"/>
      <c r="CC31" s="235"/>
      <c r="CD31" s="240"/>
      <c r="CE31" s="235"/>
      <c r="CF31" s="240"/>
    </row>
    <row r="32" spans="1:122">
      <c r="C32" s="296" t="s">
        <v>91</v>
      </c>
      <c r="D32" s="240">
        <v>2014</v>
      </c>
      <c r="E32" s="238"/>
      <c r="F32" s="238"/>
      <c r="G32" s="239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5"/>
      <c r="AV32" s="240">
        <v>2014</v>
      </c>
      <c r="AW32" s="235"/>
      <c r="AX32" s="240">
        <v>2014</v>
      </c>
      <c r="AY32" s="235"/>
      <c r="AZ32" s="240">
        <v>2014</v>
      </c>
      <c r="BA32" s="235"/>
      <c r="BB32" s="240">
        <v>2014</v>
      </c>
      <c r="BC32" s="235"/>
      <c r="BD32" s="240">
        <v>2014</v>
      </c>
      <c r="BE32" s="235"/>
      <c r="BF32" s="240">
        <v>2014</v>
      </c>
      <c r="BG32" s="235"/>
      <c r="BH32" s="240">
        <v>2014</v>
      </c>
      <c r="BI32" s="235"/>
      <c r="BJ32" s="240">
        <v>2014</v>
      </c>
      <c r="BK32" s="235"/>
      <c r="BL32" s="240">
        <v>2014</v>
      </c>
      <c r="BM32" s="235"/>
      <c r="BN32" s="240">
        <v>2014</v>
      </c>
      <c r="BO32" s="235"/>
      <c r="BP32" s="240">
        <v>2014</v>
      </c>
      <c r="BQ32" s="235"/>
      <c r="BR32" s="240">
        <v>2014</v>
      </c>
      <c r="BS32" s="235"/>
      <c r="BT32" s="240">
        <v>2014</v>
      </c>
      <c r="BU32" s="235"/>
      <c r="BV32" s="240"/>
      <c r="BW32" s="235"/>
      <c r="BX32" s="240"/>
      <c r="BY32" s="235"/>
      <c r="BZ32" s="240"/>
      <c r="CA32" s="235"/>
      <c r="CB32" s="240"/>
      <c r="CC32" s="235"/>
      <c r="CD32" s="240"/>
      <c r="CE32" s="235"/>
      <c r="CF32" s="240"/>
    </row>
    <row r="33" spans="1:124" s="155" customFormat="1" ht="15" thickBot="1">
      <c r="A33" s="154"/>
      <c r="B33" s="154"/>
      <c r="C33" s="299" t="s">
        <v>92</v>
      </c>
      <c r="D33" s="261" t="s">
        <v>95</v>
      </c>
      <c r="E33" s="255"/>
      <c r="F33" s="255"/>
      <c r="G33" s="256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7"/>
      <c r="AV33" s="261" t="s">
        <v>95</v>
      </c>
      <c r="AW33" s="257"/>
      <c r="AX33" s="261" t="s">
        <v>95</v>
      </c>
      <c r="AY33" s="257"/>
      <c r="AZ33" s="261" t="s">
        <v>95</v>
      </c>
      <c r="BA33" s="257"/>
      <c r="BB33" s="261"/>
      <c r="BC33" s="257"/>
      <c r="BD33" s="261"/>
      <c r="BE33" s="257"/>
      <c r="BF33" s="261"/>
      <c r="BG33" s="257"/>
      <c r="BH33" s="261"/>
      <c r="BI33" s="257"/>
      <c r="BJ33" s="261"/>
      <c r="BK33" s="257"/>
      <c r="BL33" s="261"/>
      <c r="BM33" s="257"/>
      <c r="BN33" s="261"/>
      <c r="BO33" s="257"/>
      <c r="BP33" s="261"/>
      <c r="BQ33" s="257"/>
      <c r="BR33" s="261"/>
      <c r="BS33" s="257"/>
      <c r="BT33" s="261"/>
      <c r="BU33" s="257"/>
      <c r="BV33" s="261"/>
      <c r="BW33" s="257"/>
      <c r="BX33" s="261"/>
      <c r="BY33" s="257"/>
      <c r="BZ33" s="261"/>
      <c r="CA33" s="257"/>
      <c r="CB33" s="261"/>
      <c r="CC33" s="257"/>
      <c r="CD33" s="261"/>
      <c r="CE33" s="257"/>
      <c r="CF33" s="261" t="s">
        <v>95</v>
      </c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4"/>
      <c r="CR33" s="154"/>
      <c r="CS33" s="154"/>
      <c r="CT33" s="154"/>
      <c r="CU33" s="154"/>
      <c r="CV33" s="154"/>
      <c r="CW33" s="154"/>
      <c r="CX33" s="154"/>
      <c r="CY33" s="154"/>
      <c r="CZ33" s="154"/>
      <c r="DA33" s="154"/>
      <c r="DB33" s="154"/>
      <c r="DC33" s="154"/>
      <c r="DD33" s="154"/>
      <c r="DE33" s="154"/>
      <c r="DF33" s="154"/>
      <c r="DG33" s="154"/>
      <c r="DH33" s="154"/>
      <c r="DI33" s="154"/>
      <c r="DJ33" s="154"/>
      <c r="DK33" s="154"/>
      <c r="DL33" s="154"/>
      <c r="DM33" s="154"/>
      <c r="DN33" s="154"/>
      <c r="DO33" s="154"/>
      <c r="DP33" s="154"/>
      <c r="DQ33" s="154"/>
      <c r="DR33" s="154"/>
    </row>
    <row r="34" spans="1:124" s="138" customFormat="1">
      <c r="D34" s="156"/>
      <c r="E34" s="156"/>
      <c r="F34" s="156"/>
      <c r="G34" s="157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V34" s="156"/>
      <c r="AX34" s="156"/>
      <c r="AZ34" s="156"/>
      <c r="BB34" s="156"/>
      <c r="BD34" s="156"/>
      <c r="BF34" s="156"/>
      <c r="BH34" s="156"/>
      <c r="BJ34" s="156"/>
      <c r="BL34" s="156"/>
      <c r="BN34" s="156"/>
      <c r="BP34" s="156"/>
      <c r="BR34" s="156"/>
      <c r="BT34" s="156"/>
      <c r="BV34" s="156"/>
      <c r="BX34" s="156"/>
      <c r="BZ34" s="156"/>
      <c r="CB34" s="156"/>
      <c r="CD34" s="156"/>
      <c r="CF34" s="156"/>
    </row>
    <row r="35" spans="1:124" s="138" customFormat="1" ht="15" hidden="1" outlineLevel="1" thickBot="1">
      <c r="A35" s="158"/>
      <c r="B35" s="158"/>
      <c r="C35" s="158"/>
      <c r="D35" s="158">
        <v>1</v>
      </c>
      <c r="E35" s="158"/>
      <c r="F35" s="158"/>
      <c r="G35" s="159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>
        <v>5</v>
      </c>
      <c r="AM35" s="158">
        <v>5</v>
      </c>
      <c r="AN35" s="158">
        <v>6</v>
      </c>
      <c r="AO35" s="158">
        <v>7</v>
      </c>
      <c r="AP35" s="158">
        <v>8</v>
      </c>
      <c r="AQ35" s="158">
        <v>9</v>
      </c>
      <c r="AR35" s="158">
        <v>10</v>
      </c>
      <c r="AS35" s="158">
        <v>11</v>
      </c>
      <c r="AT35" s="158">
        <v>12</v>
      </c>
      <c r="AU35" s="158"/>
      <c r="AV35" s="158">
        <v>2</v>
      </c>
      <c r="AW35" s="158"/>
      <c r="AX35" s="158">
        <v>3</v>
      </c>
      <c r="AY35" s="158"/>
      <c r="AZ35" s="158">
        <v>4</v>
      </c>
      <c r="BA35" s="158"/>
      <c r="BB35" s="158">
        <v>5</v>
      </c>
      <c r="BC35" s="158"/>
      <c r="BD35" s="158">
        <v>6</v>
      </c>
      <c r="BE35" s="158"/>
      <c r="BF35" s="158">
        <v>7</v>
      </c>
      <c r="BG35" s="158"/>
      <c r="BH35" s="158">
        <v>8</v>
      </c>
      <c r="BI35" s="158"/>
      <c r="BJ35" s="158">
        <v>9</v>
      </c>
      <c r="BK35" s="158"/>
      <c r="BL35" s="158">
        <v>10</v>
      </c>
      <c r="BM35" s="158"/>
      <c r="BN35" s="158">
        <v>11</v>
      </c>
      <c r="BO35" s="158"/>
      <c r="BP35" s="158">
        <v>12</v>
      </c>
      <c r="BQ35" s="158"/>
      <c r="BR35" s="158">
        <v>13</v>
      </c>
      <c r="BS35" s="158"/>
      <c r="BT35" s="158">
        <v>14</v>
      </c>
      <c r="BU35" s="158"/>
      <c r="BV35" s="158">
        <v>15</v>
      </c>
      <c r="BW35" s="158"/>
      <c r="BX35" s="158">
        <v>16</v>
      </c>
      <c r="BY35" s="158"/>
      <c r="BZ35" s="158">
        <v>17</v>
      </c>
      <c r="CA35" s="158"/>
      <c r="CB35" s="158">
        <v>18</v>
      </c>
      <c r="CC35" s="158"/>
      <c r="CD35" s="158">
        <v>19</v>
      </c>
      <c r="CE35" s="158"/>
      <c r="CF35" s="158">
        <v>20</v>
      </c>
    </row>
    <row r="36" spans="1:124" s="170" customFormat="1" ht="44" hidden="1" outlineLevel="1" thickBot="1">
      <c r="A36" s="160"/>
      <c r="B36" s="160"/>
      <c r="C36" s="160"/>
      <c r="D36" s="161" t="s">
        <v>97</v>
      </c>
      <c r="E36" s="161" t="s">
        <v>73</v>
      </c>
      <c r="F36" s="161" t="s">
        <v>74</v>
      </c>
      <c r="G36" s="161" t="s">
        <v>98</v>
      </c>
      <c r="H36" s="161" t="s">
        <v>99</v>
      </c>
      <c r="I36" s="161" t="s">
        <v>79</v>
      </c>
      <c r="J36" s="161" t="s">
        <v>100</v>
      </c>
      <c r="K36" s="161" t="s">
        <v>101</v>
      </c>
      <c r="L36" s="161" t="s">
        <v>102</v>
      </c>
      <c r="M36" s="161" t="s">
        <v>82</v>
      </c>
      <c r="N36" s="161" t="s">
        <v>111</v>
      </c>
      <c r="O36" s="161" t="s">
        <v>66</v>
      </c>
      <c r="P36" s="161" t="s">
        <v>103</v>
      </c>
      <c r="Q36" s="161" t="s">
        <v>110</v>
      </c>
      <c r="R36" s="161" t="s">
        <v>104</v>
      </c>
      <c r="S36" s="161" t="s">
        <v>105</v>
      </c>
      <c r="T36" s="161" t="s">
        <v>112</v>
      </c>
      <c r="U36" s="161" t="s">
        <v>106</v>
      </c>
      <c r="V36" s="161" t="s">
        <v>107</v>
      </c>
      <c r="W36" s="161" t="s">
        <v>108</v>
      </c>
      <c r="X36" s="161" t="s">
        <v>109</v>
      </c>
      <c r="Y36" s="160"/>
      <c r="Z36" s="162" t="s">
        <v>130</v>
      </c>
      <c r="AA36" s="163" t="s">
        <v>131</v>
      </c>
      <c r="AB36" s="163" t="s">
        <v>132</v>
      </c>
      <c r="AC36" s="163" t="s">
        <v>133</v>
      </c>
      <c r="AD36" s="163" t="s">
        <v>133</v>
      </c>
      <c r="AE36" s="163" t="s">
        <v>133</v>
      </c>
      <c r="AF36" s="163" t="s">
        <v>133</v>
      </c>
      <c r="AG36" s="163" t="s">
        <v>133</v>
      </c>
      <c r="AH36" s="163" t="s">
        <v>134</v>
      </c>
      <c r="AI36" s="163" t="s">
        <v>135</v>
      </c>
      <c r="AJ36" s="164" t="s">
        <v>133</v>
      </c>
      <c r="AK36" s="165"/>
      <c r="AL36" s="166" t="s">
        <v>151</v>
      </c>
      <c r="AM36" s="167" t="s">
        <v>152</v>
      </c>
      <c r="AN36" s="167" t="s">
        <v>153</v>
      </c>
      <c r="AO36" s="167" t="s">
        <v>156</v>
      </c>
      <c r="AP36" s="167" t="s">
        <v>157</v>
      </c>
      <c r="AQ36" s="167" t="s">
        <v>155</v>
      </c>
      <c r="AR36" s="167" t="s">
        <v>154</v>
      </c>
      <c r="AS36" s="167" t="s">
        <v>158</v>
      </c>
      <c r="AT36" s="168" t="s">
        <v>159</v>
      </c>
      <c r="AU36" s="160"/>
      <c r="AV36" s="160"/>
      <c r="AW36" s="160"/>
      <c r="AX36" s="160"/>
      <c r="AY36" s="160"/>
      <c r="AZ36" s="160"/>
      <c r="BA36" s="160"/>
      <c r="BB36" s="160"/>
      <c r="BC36" s="160"/>
      <c r="BD36" s="160"/>
      <c r="BE36" s="160"/>
      <c r="BF36" s="160"/>
      <c r="BG36" s="160"/>
      <c r="BH36" s="160"/>
      <c r="BI36" s="160"/>
      <c r="BJ36" s="160"/>
      <c r="BK36" s="160"/>
      <c r="BL36" s="160"/>
      <c r="BM36" s="160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  <c r="BX36" s="160"/>
      <c r="BY36" s="160"/>
      <c r="BZ36" s="160"/>
      <c r="CA36" s="160"/>
      <c r="CB36" s="160"/>
      <c r="CC36" s="160"/>
      <c r="CD36" s="160"/>
      <c r="CE36" s="160"/>
      <c r="CF36" s="160"/>
      <c r="CG36" s="160"/>
      <c r="CH36" s="160"/>
      <c r="CI36" s="160"/>
      <c r="CJ36" s="160"/>
      <c r="CK36" s="160"/>
      <c r="CL36" s="160"/>
      <c r="CM36" s="160"/>
      <c r="CN36" s="160"/>
      <c r="CO36" s="160"/>
      <c r="CP36" s="160"/>
      <c r="CQ36" s="160"/>
      <c r="CR36" s="160"/>
      <c r="CS36" s="160"/>
      <c r="CT36" s="160"/>
      <c r="CU36" s="160"/>
      <c r="CV36" s="160"/>
      <c r="CW36" s="160"/>
      <c r="CX36" s="160"/>
      <c r="CY36" s="160"/>
      <c r="CZ36" s="160"/>
      <c r="DA36" s="160"/>
      <c r="DB36" s="160"/>
      <c r="DC36" s="160"/>
      <c r="DD36" s="160"/>
      <c r="DE36" s="160"/>
      <c r="DF36" s="160"/>
      <c r="DG36" s="160"/>
      <c r="DH36" s="160"/>
      <c r="DI36" s="160"/>
      <c r="DJ36" s="160"/>
      <c r="DK36" s="160"/>
      <c r="DL36" s="160"/>
      <c r="DM36" s="160"/>
      <c r="DN36" s="160"/>
      <c r="DO36" s="160"/>
      <c r="DP36" s="160"/>
      <c r="DQ36" s="160"/>
      <c r="DR36" s="160"/>
      <c r="DS36" s="160"/>
      <c r="DT36" s="169"/>
    </row>
    <row r="37" spans="1:124" s="151" customFormat="1" hidden="1" outlineLevel="1">
      <c r="C37" s="151">
        <v>1</v>
      </c>
      <c r="D37" s="171" t="str">
        <f>CONCATENATE(D7,", ",D8," ",D9)</f>
        <v>RABADAM, MARIA EMY TAN</v>
      </c>
      <c r="E37" s="172">
        <f>D13</f>
        <v>29144</v>
      </c>
      <c r="F37" s="172">
        <f>D14</f>
        <v>39218</v>
      </c>
      <c r="G37" s="173">
        <f ca="1">IF(E37&gt;0,ROUNDDOWN((NOW()-E37)/365,0),0)</f>
        <v>46</v>
      </c>
      <c r="H37" s="173">
        <f ca="1">IF(F37&gt;0,ROUNDDOWN((NOW()-F37)/365,0),0)</f>
        <v>18</v>
      </c>
      <c r="I37" s="174" t="str">
        <f>D17</f>
        <v>ADMIN AIDE I</v>
      </c>
      <c r="J37" s="175">
        <f>D18</f>
        <v>38000</v>
      </c>
      <c r="K37" s="176">
        <f>D19</f>
        <v>2000</v>
      </c>
      <c r="L37" s="176">
        <f>J37+K37</f>
        <v>40000</v>
      </c>
      <c r="M37" s="176">
        <f>D20</f>
        <v>26000</v>
      </c>
      <c r="N37" s="176">
        <f>D21</f>
        <v>5000</v>
      </c>
      <c r="O37" s="177">
        <f>IF(L37&lt;10000,10%,IF(L37&lt;13000,25%,30%))</f>
        <v>0.3</v>
      </c>
      <c r="P37" s="178">
        <f>L37*O37</f>
        <v>12000</v>
      </c>
      <c r="Q37" s="178">
        <f>-PMT(W37/12,X37,V37)</f>
        <v>6392.3145340533565</v>
      </c>
      <c r="R37" s="179">
        <f>M37-N37+Q37</f>
        <v>27392.314534053356</v>
      </c>
      <c r="S37" s="179">
        <f>J37+K37-R37</f>
        <v>12607.685465946644</v>
      </c>
      <c r="T37" s="180" t="str">
        <f>IF(N37&gt;0,"RENEWAL","NEW")</f>
        <v>RENEWAL</v>
      </c>
      <c r="U37" s="179">
        <f>-PV(W37/12,X37,P37)</f>
        <v>134599.1339156485</v>
      </c>
      <c r="V37" s="181">
        <f>'COMPUTATION SHEET'!AA24</f>
        <v>71700</v>
      </c>
      <c r="W37" s="182">
        <f>IF(X37&gt;36,15.81%,12.651%)</f>
        <v>0.12651000000000001</v>
      </c>
      <c r="X37" s="183">
        <f>'COMPUTATION SHEET'!AC24</f>
        <v>12</v>
      </c>
      <c r="Y37" s="184">
        <f>C37</f>
        <v>1</v>
      </c>
      <c r="Z37" s="185" t="str">
        <f>D23</f>
        <v>15-0070</v>
      </c>
      <c r="AA37" s="186">
        <f>$D24</f>
        <v>42094</v>
      </c>
      <c r="AB37" s="186">
        <f>$D25</f>
        <v>42081</v>
      </c>
      <c r="AC37" s="186">
        <f>$D26</f>
        <v>42081</v>
      </c>
      <c r="AD37" s="186">
        <f>$D27</f>
        <v>42081</v>
      </c>
      <c r="AE37" s="186">
        <f>$D28</f>
        <v>42081</v>
      </c>
      <c r="AF37" s="186">
        <f>$D29</f>
        <v>42081</v>
      </c>
      <c r="AG37" s="186">
        <f>$D30</f>
        <v>42081</v>
      </c>
      <c r="AH37" s="186" t="str">
        <f>$D31</f>
        <v>NA</v>
      </c>
      <c r="AI37" s="187">
        <f>$D32</f>
        <v>2014</v>
      </c>
      <c r="AJ37" s="188" t="str">
        <f>$D33</f>
        <v>-</v>
      </c>
      <c r="AK37" s="186"/>
      <c r="AL37" s="189" t="str">
        <f>$D7</f>
        <v>RABADAM</v>
      </c>
      <c r="AM37" s="190" t="str">
        <f>$D8</f>
        <v>MARIA EMY</v>
      </c>
      <c r="AN37" s="190" t="str">
        <f>$D9</f>
        <v>TAN</v>
      </c>
      <c r="AO37" s="190" t="str">
        <f>$D10</f>
        <v>ARNEL B RABADAM</v>
      </c>
      <c r="AP37" s="190" t="str">
        <f>$D11</f>
        <v>202 CURRY AVENUE CATBALOGAN CITY SAMAR</v>
      </c>
      <c r="AQ37" s="191">
        <f>$D12</f>
        <v>943994147</v>
      </c>
      <c r="AR37" s="192">
        <f>$D13</f>
        <v>29144</v>
      </c>
      <c r="AS37" s="190" t="str">
        <f>$D15</f>
        <v>PROVINCE OF SAMAR1</v>
      </c>
      <c r="AT37" s="193" t="s">
        <v>160</v>
      </c>
      <c r="AU37" s="194"/>
      <c r="AV37" s="195" t="str">
        <f>CONCATENATE(AV7,", ",AV8," ",AV9)</f>
        <v>LEJAS, ALLAN GULFERIC</v>
      </c>
      <c r="AW37" s="196"/>
      <c r="AX37" s="195" t="str">
        <f>CONCATENATE(AX7,", ",AX8," ",AX9)</f>
        <v>NUNEZ, JOSE JR ADESAS</v>
      </c>
      <c r="AY37" s="196"/>
      <c r="AZ37" s="195" t="str">
        <f>CONCATENATE(AZ7,", ",AZ8," ",AZ9)</f>
        <v>LIMA, NESTOR PELENO</v>
      </c>
      <c r="BA37" s="196"/>
      <c r="BB37" s="195" t="str">
        <f>CONCATENATE(BB7,", ",BB8," ",BB9)</f>
        <v>ALEGRIA, MARCIANO JR HERNANDEZ</v>
      </c>
      <c r="BC37" s="196"/>
      <c r="BD37" s="195" t="str">
        <f>CONCATENATE(BD7,", ",BD8," ",BD9)</f>
        <v>GACELOS, MANOLITO ABARRACOSO</v>
      </c>
      <c r="BE37" s="196"/>
      <c r="BF37" s="195" t="str">
        <f>CONCATENATE(BF7,", ",BF8," ",BF9)</f>
        <v>GONZALES, LEONILA HILONGO</v>
      </c>
      <c r="BG37" s="196"/>
      <c r="BH37" s="195" t="str">
        <f>CONCATENATE(BH7,", ",BH8," ",BH9)</f>
        <v>MAYOR, CHONA BRANZUELA</v>
      </c>
      <c r="BI37" s="196"/>
      <c r="BJ37" s="195" t="str">
        <f>CONCATENATE(BJ7,", ",BJ8," ",BJ9)</f>
        <v>YBOA, JONAS ABELIDO</v>
      </c>
      <c r="BK37" s="196"/>
      <c r="BL37" s="195" t="str">
        <f>CONCATENATE(BL7,", ",BL8," ",BL9)</f>
        <v>GONZALES, RUBIA ABARCAR</v>
      </c>
      <c r="BM37" s="196">
        <v>1</v>
      </c>
      <c r="BN37" s="195" t="str">
        <f>CONCATENATE(BN7,", ",BN8," ",BN9)</f>
        <v>ARCALES, DOMINGO JR JADLOC</v>
      </c>
      <c r="BO37" s="196"/>
      <c r="BP37" s="195" t="str">
        <f>CONCATENATE(BP7,", ",BP8," ",BP9)</f>
        <v>GACELOS, REBECCA TILLES</v>
      </c>
      <c r="BQ37" s="196"/>
      <c r="BR37" s="195" t="str">
        <f>CONCATENATE(BR7,", ",BR8," ",BR9)</f>
        <v>TONELETE, NARCISA  CAMUIN</v>
      </c>
      <c r="BS37" s="196"/>
      <c r="BT37" s="195" t="str">
        <f>CONCATENATE(BT7,", ",BT8," ",BT9)</f>
        <v>GABON, MA WINONA CON UI</v>
      </c>
      <c r="BU37" s="196"/>
      <c r="BV37" s="195" t="str">
        <f>CONCATENATE(BV7,", ",BV8," ",BV9)</f>
        <v xml:space="preserve">,  </v>
      </c>
      <c r="BW37" s="196"/>
      <c r="BX37" s="195" t="str">
        <f>CONCATENATE(BX7,", ",BX8," ",BX9)</f>
        <v xml:space="preserve">,  </v>
      </c>
      <c r="BY37" s="196"/>
      <c r="BZ37" s="195" t="str">
        <f>CONCATENATE(BZ7,", ",BZ8," ",BZ9)</f>
        <v xml:space="preserve">,  </v>
      </c>
      <c r="CA37" s="196"/>
      <c r="CB37" s="195" t="str">
        <f>CONCATENATE(CB7,", ",CB8," ",CB9)</f>
        <v xml:space="preserve">,  </v>
      </c>
      <c r="CC37" s="196"/>
      <c r="CD37" s="195" t="str">
        <f>CONCATENATE(CD7,", ",CD8," ",CD9)</f>
        <v xml:space="preserve">,  </v>
      </c>
      <c r="CE37" s="196"/>
      <c r="CF37" s="195" t="str">
        <f>CONCATENATE(CF7,", ",CF8," ",CF9)</f>
        <v xml:space="preserve">,  </v>
      </c>
      <c r="CG37" s="196"/>
      <c r="CH37" s="196"/>
      <c r="CI37" s="196"/>
      <c r="CJ37" s="196"/>
      <c r="CK37" s="196"/>
      <c r="CL37" s="196"/>
      <c r="CM37" s="196"/>
      <c r="CN37" s="196"/>
    </row>
    <row r="38" spans="1:124" s="151" customFormat="1" hidden="1" outlineLevel="2">
      <c r="D38" s="171"/>
      <c r="E38" s="174"/>
      <c r="F38" s="174"/>
      <c r="G38" s="173"/>
      <c r="H38" s="174"/>
      <c r="I38" s="174"/>
      <c r="J38" s="175"/>
      <c r="K38" s="174"/>
      <c r="L38" s="174"/>
      <c r="M38" s="174"/>
      <c r="N38" s="174"/>
      <c r="O38" s="174"/>
      <c r="P38" s="175"/>
      <c r="Q38" s="178">
        <f t="shared" ref="Q38:Q75" si="0">-PMT(W38/12,X38,V38)</f>
        <v>0</v>
      </c>
      <c r="R38" s="179">
        <f t="shared" ref="R38:R75" si="1">M38-N38+Q38</f>
        <v>0</v>
      </c>
      <c r="S38" s="179">
        <f t="shared" ref="S38:S75" si="2">J38+K38-R38</f>
        <v>0</v>
      </c>
      <c r="T38" s="180" t="s">
        <v>69</v>
      </c>
      <c r="U38" s="179">
        <f t="shared" ref="U38:U75" si="3">-PV(W38/12,X38,P38)</f>
        <v>0</v>
      </c>
      <c r="V38" s="181">
        <f>'COMPUTATION SHEET'!AA25</f>
        <v>0</v>
      </c>
      <c r="W38" s="182">
        <f t="shared" ref="W38:W75" si="4">IF(X38&gt;36,15.81%,12.651%)</f>
        <v>0.15810000000000002</v>
      </c>
      <c r="X38" s="197">
        <v>49</v>
      </c>
      <c r="Y38" s="184">
        <f t="shared" ref="Y38:Y75" si="5">C38</f>
        <v>0</v>
      </c>
      <c r="Z38" s="198"/>
      <c r="AA38" s="199"/>
      <c r="AB38" s="199"/>
      <c r="AC38" s="199"/>
      <c r="AD38" s="199"/>
      <c r="AE38" s="199"/>
      <c r="AF38" s="199"/>
      <c r="AG38" s="199"/>
      <c r="AH38" s="199"/>
      <c r="AI38" s="187"/>
      <c r="AJ38" s="200"/>
      <c r="AK38" s="199"/>
      <c r="AL38" s="201"/>
      <c r="AM38" s="202"/>
      <c r="AN38" s="202"/>
      <c r="AO38" s="202"/>
      <c r="AP38" s="202"/>
      <c r="AQ38" s="203"/>
      <c r="AR38" s="204"/>
      <c r="AS38" s="202"/>
      <c r="AT38" s="205"/>
      <c r="AV38" s="174"/>
      <c r="AX38" s="174"/>
      <c r="AZ38" s="174"/>
      <c r="BB38" s="174"/>
      <c r="BD38" s="174"/>
      <c r="BF38" s="174"/>
      <c r="BH38" s="174"/>
      <c r="BJ38" s="174"/>
      <c r="BL38" s="174"/>
      <c r="BN38" s="174"/>
      <c r="BP38" s="174"/>
      <c r="BR38" s="174"/>
      <c r="BT38" s="174"/>
      <c r="BV38" s="174"/>
      <c r="BX38" s="174"/>
      <c r="BZ38" s="174"/>
      <c r="CB38" s="174"/>
      <c r="CD38" s="174"/>
      <c r="CF38" s="174"/>
    </row>
    <row r="39" spans="1:124" s="151" customFormat="1" hidden="1" outlineLevel="1" collapsed="1">
      <c r="C39" s="151">
        <v>2</v>
      </c>
      <c r="D39" s="171" t="str">
        <f>AV37</f>
        <v>LEJAS, ALLAN GULFERIC</v>
      </c>
      <c r="E39" s="172">
        <f>AV13</f>
        <v>30469</v>
      </c>
      <c r="F39" s="172">
        <f>AV14</f>
        <v>40525</v>
      </c>
      <c r="G39" s="173">
        <f ca="1">IF(E39&gt;0,ROUNDDOWN((NOW()-E39)/365,0),0)</f>
        <v>42</v>
      </c>
      <c r="H39" s="173">
        <f ca="1">IF(F39&gt;0,ROUNDDOWN((NOW()-F39)/365,0),0)</f>
        <v>15</v>
      </c>
      <c r="I39" s="174" t="str">
        <f>AV17</f>
        <v>CM CAPATAZ</v>
      </c>
      <c r="J39" s="175">
        <f>AV18</f>
        <v>12139</v>
      </c>
      <c r="K39" s="176">
        <f>AV19</f>
        <v>2000</v>
      </c>
      <c r="L39" s="176">
        <f t="shared" ref="L39:L75" si="6">J39+K39</f>
        <v>14139</v>
      </c>
      <c r="M39" s="176">
        <f>AV20</f>
        <v>6939.36</v>
      </c>
      <c r="N39" s="176">
        <f>AV21</f>
        <v>0</v>
      </c>
      <c r="O39" s="177">
        <f t="shared" ref="O39:O75" si="7">IF(L39&lt;10000,10%,IF(L39&lt;13000,25%,30%))</f>
        <v>0.3</v>
      </c>
      <c r="P39" s="178">
        <f t="shared" ref="P39:P75" si="8">L39*O39</f>
        <v>4241.7</v>
      </c>
      <c r="Q39" s="178">
        <f t="shared" si="0"/>
        <v>3191.4664878241133</v>
      </c>
      <c r="R39" s="179">
        <f t="shared" si="1"/>
        <v>10130.826487824113</v>
      </c>
      <c r="S39" s="179">
        <f t="shared" si="2"/>
        <v>4008.1735121758866</v>
      </c>
      <c r="T39" s="180" t="str">
        <f t="shared" ref="T39:T75" si="9">IF(N39&gt;0,"RENEWAL","NEW")</f>
        <v>NEW</v>
      </c>
      <c r="U39" s="179">
        <f t="shared" si="3"/>
        <v>150185.53440201902</v>
      </c>
      <c r="V39" s="181">
        <f>'COMPUTATION SHEET'!AA26</f>
        <v>113000</v>
      </c>
      <c r="W39" s="182">
        <f t="shared" si="4"/>
        <v>0.15810000000000002</v>
      </c>
      <c r="X39" s="183">
        <f>'COMPUTATION SHEET'!AC26</f>
        <v>48</v>
      </c>
      <c r="Y39" s="184">
        <f t="shared" si="5"/>
        <v>2</v>
      </c>
      <c r="Z39" s="185" t="str">
        <f>AV23</f>
        <v>15-0070</v>
      </c>
      <c r="AA39" s="186">
        <f>$AV24</f>
        <v>42094</v>
      </c>
      <c r="AB39" s="186">
        <f>$AV25</f>
        <v>34409</v>
      </c>
      <c r="AC39" s="186">
        <f>$AV26</f>
        <v>42097</v>
      </c>
      <c r="AD39" s="186">
        <f>$AV27</f>
        <v>42135</v>
      </c>
      <c r="AE39" s="186">
        <f>$AV28</f>
        <v>42463</v>
      </c>
      <c r="AF39" s="186">
        <f>$AV29</f>
        <v>42463</v>
      </c>
      <c r="AG39" s="186">
        <f>$AV30</f>
        <v>42463</v>
      </c>
      <c r="AH39" s="186" t="str">
        <f>$AV31</f>
        <v>NA</v>
      </c>
      <c r="AI39" s="186">
        <f>$AV32</f>
        <v>2014</v>
      </c>
      <c r="AJ39" s="188" t="str">
        <f>$AV33</f>
        <v>-</v>
      </c>
      <c r="AK39" s="186"/>
      <c r="AL39" s="189" t="str">
        <f>$AV7</f>
        <v>LEJAS</v>
      </c>
      <c r="AM39" s="190" t="str">
        <f>$AV8</f>
        <v>ALLAN</v>
      </c>
      <c r="AN39" s="190" t="str">
        <f>$AV9</f>
        <v>GULFERIC</v>
      </c>
      <c r="AO39" s="190" t="str">
        <f>$AV10</f>
        <v>MARIAN DAGANZO LEJAS</v>
      </c>
      <c r="AP39" s="190" t="str">
        <f>$AV11</f>
        <v>PUROK 1 BRGY CANLAPWAS CATBALOGAN CITY SAMAR</v>
      </c>
      <c r="AQ39" s="191">
        <f>$AV12</f>
        <v>273165815</v>
      </c>
      <c r="AR39" s="192">
        <f>$AV13</f>
        <v>30469</v>
      </c>
      <c r="AS39" s="190" t="str">
        <f>$AV15</f>
        <v>PROVINCE OF SAMAR2</v>
      </c>
      <c r="AT39" s="193" t="s">
        <v>160</v>
      </c>
      <c r="AV39" s="174"/>
      <c r="AX39" s="174"/>
      <c r="AZ39" s="174"/>
      <c r="BB39" s="174"/>
      <c r="BD39" s="174"/>
      <c r="BF39" s="174"/>
      <c r="BH39" s="174"/>
      <c r="BJ39" s="174"/>
      <c r="BL39" s="174"/>
      <c r="BN39" s="174"/>
      <c r="BP39" s="174"/>
      <c r="BR39" s="174"/>
      <c r="BT39" s="174"/>
      <c r="BV39" s="174"/>
      <c r="BX39" s="174"/>
      <c r="BZ39" s="174"/>
      <c r="CB39" s="174"/>
      <c r="CD39" s="174"/>
      <c r="CF39" s="174"/>
    </row>
    <row r="40" spans="1:124" s="151" customFormat="1" hidden="1" outlineLevel="2">
      <c r="D40" s="171"/>
      <c r="E40" s="174"/>
      <c r="F40" s="174"/>
      <c r="G40" s="173">
        <f ca="1">ROUNDDOWN((NOW()-E40)/365,0)</f>
        <v>126</v>
      </c>
      <c r="H40" s="173">
        <f ca="1">ROUNDDOWN((NOW()-F40)/365,0)</f>
        <v>126</v>
      </c>
      <c r="I40" s="174"/>
      <c r="J40" s="175"/>
      <c r="K40" s="174"/>
      <c r="L40" s="176">
        <f t="shared" si="6"/>
        <v>0</v>
      </c>
      <c r="M40" s="174"/>
      <c r="N40" s="174"/>
      <c r="O40" s="177">
        <f t="shared" si="7"/>
        <v>0.1</v>
      </c>
      <c r="P40" s="178">
        <f t="shared" si="8"/>
        <v>0</v>
      </c>
      <c r="Q40" s="178" t="e">
        <f t="shared" si="0"/>
        <v>#NUM!</v>
      </c>
      <c r="R40" s="179" t="e">
        <f t="shared" si="1"/>
        <v>#NUM!</v>
      </c>
      <c r="S40" s="179" t="e">
        <f t="shared" si="2"/>
        <v>#NUM!</v>
      </c>
      <c r="T40" s="180" t="str">
        <f t="shared" si="9"/>
        <v>NEW</v>
      </c>
      <c r="U40" s="179">
        <f t="shared" si="3"/>
        <v>0</v>
      </c>
      <c r="V40" s="181">
        <f>'COMPUTATION SHEET'!AA27</f>
        <v>0</v>
      </c>
      <c r="W40" s="182">
        <f t="shared" si="4"/>
        <v>0.12651000000000001</v>
      </c>
      <c r="X40" s="183">
        <f>'COMPUTATION SHEET'!AC27</f>
        <v>0</v>
      </c>
      <c r="Y40" s="184">
        <f t="shared" si="5"/>
        <v>0</v>
      </c>
      <c r="Z40" s="185"/>
      <c r="AA40" s="186"/>
      <c r="AB40" s="186"/>
      <c r="AC40" s="186"/>
      <c r="AD40" s="186"/>
      <c r="AE40" s="186"/>
      <c r="AF40" s="186"/>
      <c r="AG40" s="186"/>
      <c r="AH40" s="186"/>
      <c r="AI40" s="187"/>
      <c r="AJ40" s="188"/>
      <c r="AK40" s="186"/>
      <c r="AL40" s="189"/>
      <c r="AM40" s="190"/>
      <c r="AN40" s="190"/>
      <c r="AO40" s="190"/>
      <c r="AP40" s="190"/>
      <c r="AQ40" s="191"/>
      <c r="AR40" s="192"/>
      <c r="AS40" s="190"/>
      <c r="AT40" s="193" t="s">
        <v>160</v>
      </c>
      <c r="AV40" s="174"/>
      <c r="AX40" s="174"/>
      <c r="AZ40" s="174"/>
      <c r="BB40" s="174"/>
      <c r="BD40" s="174"/>
      <c r="BF40" s="174"/>
      <c r="BH40" s="174"/>
      <c r="BJ40" s="174"/>
      <c r="BL40" s="174"/>
      <c r="BN40" s="174"/>
      <c r="BP40" s="174"/>
      <c r="BR40" s="174"/>
      <c r="BT40" s="174"/>
      <c r="BV40" s="174"/>
      <c r="BX40" s="174"/>
      <c r="BZ40" s="174"/>
      <c r="CB40" s="174"/>
      <c r="CD40" s="174"/>
      <c r="CF40" s="174"/>
    </row>
    <row r="41" spans="1:124" s="151" customFormat="1" hidden="1" outlineLevel="1" collapsed="1">
      <c r="C41" s="151">
        <v>3</v>
      </c>
      <c r="D41" s="171" t="str">
        <f>AX37</f>
        <v>NUNEZ, JOSE JR ADESAS</v>
      </c>
      <c r="E41" s="172">
        <f>AX13</f>
        <v>112566</v>
      </c>
      <c r="F41" s="172">
        <f>AX14</f>
        <v>34541</v>
      </c>
      <c r="G41" s="173">
        <f ca="1">IF(E41&gt;0,ROUNDDOWN((NOW()-E41)/365,0),0)</f>
        <v>-182</v>
      </c>
      <c r="H41" s="173">
        <f ca="1">IF(F41&gt;0,ROUNDDOWN((NOW()-F41)/365,0),0)</f>
        <v>31</v>
      </c>
      <c r="I41" s="174" t="str">
        <f>AX17</f>
        <v>DRAFTSMAN I</v>
      </c>
      <c r="J41" s="175">
        <f>AX18</f>
        <v>13853</v>
      </c>
      <c r="K41" s="176">
        <f>AX19</f>
        <v>2000</v>
      </c>
      <c r="L41" s="176">
        <f t="shared" si="6"/>
        <v>15853</v>
      </c>
      <c r="M41" s="176">
        <f>AX20</f>
        <v>9753.9</v>
      </c>
      <c r="N41" s="176">
        <f>AX21</f>
        <v>3714.69</v>
      </c>
      <c r="O41" s="177">
        <f t="shared" si="7"/>
        <v>0.3</v>
      </c>
      <c r="P41" s="178">
        <f t="shared" si="8"/>
        <v>4755.8999999999996</v>
      </c>
      <c r="Q41" s="178">
        <f t="shared" si="0"/>
        <v>5546.9382142358918</v>
      </c>
      <c r="R41" s="179">
        <f t="shared" si="1"/>
        <v>11586.148214235891</v>
      </c>
      <c r="S41" s="179">
        <f t="shared" si="2"/>
        <v>4266.8517857641091</v>
      </c>
      <c r="T41" s="180" t="str">
        <f t="shared" si="9"/>
        <v>RENEWAL</v>
      </c>
      <c r="U41" s="179">
        <f t="shared" si="3"/>
        <v>168391.77288883281</v>
      </c>
      <c r="V41" s="181">
        <f>'COMPUTATION SHEET'!AA28</f>
        <v>196400</v>
      </c>
      <c r="W41" s="182">
        <f t="shared" si="4"/>
        <v>0.15810000000000002</v>
      </c>
      <c r="X41" s="183">
        <f>'COMPUTATION SHEET'!AC28</f>
        <v>48</v>
      </c>
      <c r="Y41" s="184">
        <f t="shared" si="5"/>
        <v>3</v>
      </c>
      <c r="Z41" s="185" t="str">
        <f>AX23</f>
        <v>15-0070</v>
      </c>
      <c r="AA41" s="186">
        <f>$AX24</f>
        <v>42094</v>
      </c>
      <c r="AB41" s="186">
        <f>$AX25</f>
        <v>42095</v>
      </c>
      <c r="AC41" s="186">
        <f>$AX26</f>
        <v>42095</v>
      </c>
      <c r="AD41" s="186">
        <f>$AX27</f>
        <v>42093</v>
      </c>
      <c r="AE41" s="186">
        <f>$AX28</f>
        <v>42095</v>
      </c>
      <c r="AF41" s="186">
        <f>$AX29</f>
        <v>42095</v>
      </c>
      <c r="AG41" s="186">
        <f>$AX30</f>
        <v>42095</v>
      </c>
      <c r="AH41" s="186" t="str">
        <f>$AX31</f>
        <v>NA</v>
      </c>
      <c r="AI41" s="186">
        <f>$AX32</f>
        <v>2014</v>
      </c>
      <c r="AJ41" s="188" t="str">
        <f>$AX33</f>
        <v>-</v>
      </c>
      <c r="AK41" s="186"/>
      <c r="AL41" s="189" t="str">
        <f>$AX7</f>
        <v>NUNEZ</v>
      </c>
      <c r="AM41" s="190" t="str">
        <f>$AX8</f>
        <v>JOSE JR</v>
      </c>
      <c r="AN41" s="190" t="str">
        <f>$AX9</f>
        <v>ADESAS</v>
      </c>
      <c r="AO41" s="190" t="str">
        <f>$AX10</f>
        <v>ERLINDA BACUETES NUNEZ</v>
      </c>
      <c r="AP41" s="190" t="str">
        <f>$AX11</f>
        <v>352 RIZAL AVENUE BRGY 12 CATBALOGAN CITY SAMAR</v>
      </c>
      <c r="AQ41" s="191">
        <f>$AX12</f>
        <v>184693732</v>
      </c>
      <c r="AR41" s="192">
        <f>$AX13</f>
        <v>112566</v>
      </c>
      <c r="AS41" s="190" t="str">
        <f>$AX15</f>
        <v>PROVINCE OF SAMAR3</v>
      </c>
      <c r="AT41" s="193" t="s">
        <v>160</v>
      </c>
      <c r="AV41" s="174"/>
      <c r="AX41" s="174"/>
      <c r="AZ41" s="174"/>
      <c r="BB41" s="174"/>
      <c r="BD41" s="174"/>
      <c r="BF41" s="174"/>
      <c r="BH41" s="174"/>
      <c r="BJ41" s="174"/>
      <c r="BL41" s="174"/>
      <c r="BN41" s="174"/>
      <c r="BP41" s="174"/>
      <c r="BR41" s="174"/>
      <c r="BT41" s="174"/>
      <c r="BV41" s="174"/>
      <c r="BX41" s="174"/>
      <c r="BZ41" s="174"/>
      <c r="CB41" s="174"/>
      <c r="CD41" s="174"/>
      <c r="CF41" s="174"/>
    </row>
    <row r="42" spans="1:124" s="151" customFormat="1" hidden="1" outlineLevel="2">
      <c r="D42" s="171"/>
      <c r="E42" s="174"/>
      <c r="F42" s="174"/>
      <c r="G42" s="173">
        <f ca="1">ROUNDDOWN((NOW()-E42)/365,0)</f>
        <v>126</v>
      </c>
      <c r="H42" s="173">
        <f ca="1">ROUNDDOWN((NOW()-F42)/365,0)</f>
        <v>126</v>
      </c>
      <c r="I42" s="174"/>
      <c r="J42" s="175"/>
      <c r="K42" s="174"/>
      <c r="L42" s="176">
        <f t="shared" si="6"/>
        <v>0</v>
      </c>
      <c r="M42" s="174"/>
      <c r="N42" s="174"/>
      <c r="O42" s="177">
        <f t="shared" si="7"/>
        <v>0.1</v>
      </c>
      <c r="P42" s="178">
        <f t="shared" si="8"/>
        <v>0</v>
      </c>
      <c r="Q42" s="178" t="e">
        <f t="shared" si="0"/>
        <v>#NUM!</v>
      </c>
      <c r="R42" s="179" t="e">
        <f t="shared" si="1"/>
        <v>#NUM!</v>
      </c>
      <c r="S42" s="179" t="e">
        <f t="shared" si="2"/>
        <v>#NUM!</v>
      </c>
      <c r="T42" s="180" t="str">
        <f t="shared" si="9"/>
        <v>NEW</v>
      </c>
      <c r="U42" s="179">
        <f t="shared" si="3"/>
        <v>0</v>
      </c>
      <c r="V42" s="181">
        <f>'COMPUTATION SHEET'!AA29</f>
        <v>0</v>
      </c>
      <c r="W42" s="182">
        <f t="shared" si="4"/>
        <v>0.12651000000000001</v>
      </c>
      <c r="X42" s="183">
        <f>'COMPUTATION SHEET'!AC29</f>
        <v>0</v>
      </c>
      <c r="Y42" s="184">
        <f t="shared" si="5"/>
        <v>0</v>
      </c>
      <c r="Z42" s="185"/>
      <c r="AA42" s="186"/>
      <c r="AB42" s="186"/>
      <c r="AC42" s="186"/>
      <c r="AD42" s="186"/>
      <c r="AE42" s="186"/>
      <c r="AF42" s="186"/>
      <c r="AG42" s="186"/>
      <c r="AH42" s="186"/>
      <c r="AI42" s="186"/>
      <c r="AJ42" s="188"/>
      <c r="AK42" s="186"/>
      <c r="AL42" s="189"/>
      <c r="AM42" s="190"/>
      <c r="AN42" s="190"/>
      <c r="AO42" s="190"/>
      <c r="AP42" s="190"/>
      <c r="AQ42" s="191"/>
      <c r="AR42" s="192"/>
      <c r="AS42" s="190"/>
      <c r="AT42" s="193" t="s">
        <v>160</v>
      </c>
      <c r="AV42" s="174"/>
      <c r="AX42" s="174"/>
      <c r="AZ42" s="174"/>
      <c r="BB42" s="174"/>
      <c r="BD42" s="174"/>
      <c r="BF42" s="174"/>
      <c r="BH42" s="174"/>
      <c r="BJ42" s="174"/>
      <c r="BL42" s="174"/>
      <c r="BN42" s="174"/>
      <c r="BP42" s="174"/>
      <c r="BR42" s="174"/>
      <c r="BT42" s="174"/>
      <c r="BV42" s="174"/>
      <c r="BX42" s="174"/>
      <c r="BZ42" s="174"/>
      <c r="CB42" s="174"/>
      <c r="CD42" s="174"/>
      <c r="CF42" s="174"/>
    </row>
    <row r="43" spans="1:124" s="151" customFormat="1" hidden="1" outlineLevel="1" collapsed="1">
      <c r="C43" s="151">
        <v>4</v>
      </c>
      <c r="D43" s="171" t="str">
        <f>AZ37</f>
        <v>LIMA, NESTOR PELENO</v>
      </c>
      <c r="E43" s="172">
        <f>AZ13</f>
        <v>20219</v>
      </c>
      <c r="F43" s="172">
        <f>AZ14</f>
        <v>31048</v>
      </c>
      <c r="G43" s="173">
        <f ca="1">IF(E43&gt;0,ROUNDDOWN((NOW()-E43)/365,0),0)</f>
        <v>70</v>
      </c>
      <c r="H43" s="173">
        <f ca="1">IF(F43&gt;0,ROUNDDOWN((NOW()-F43)/365,0),0)</f>
        <v>41</v>
      </c>
      <c r="I43" s="174" t="str">
        <f>AZ17</f>
        <v>PRISON GUARD I</v>
      </c>
      <c r="J43" s="175">
        <f>AZ18</f>
        <v>12886</v>
      </c>
      <c r="K43" s="176">
        <f>AZ19</f>
        <v>2000</v>
      </c>
      <c r="L43" s="176">
        <f t="shared" si="6"/>
        <v>14886</v>
      </c>
      <c r="M43" s="176">
        <f>AZ20</f>
        <v>10386</v>
      </c>
      <c r="N43" s="176">
        <f>AZ21</f>
        <v>3453.19</v>
      </c>
      <c r="O43" s="177">
        <f t="shared" si="7"/>
        <v>0.3</v>
      </c>
      <c r="P43" s="178">
        <f t="shared" si="8"/>
        <v>4465.8</v>
      </c>
      <c r="Q43" s="178">
        <f t="shared" si="0"/>
        <v>3939.9077438182635</v>
      </c>
      <c r="R43" s="179">
        <f t="shared" si="1"/>
        <v>10872.717743818263</v>
      </c>
      <c r="S43" s="179">
        <f t="shared" si="2"/>
        <v>4013.2822561817375</v>
      </c>
      <c r="T43" s="180" t="str">
        <f t="shared" si="9"/>
        <v>RENEWAL</v>
      </c>
      <c r="U43" s="179">
        <f t="shared" si="3"/>
        <v>158120.22527112634</v>
      </c>
      <c r="V43" s="181">
        <f>'COMPUTATION SHEET'!AA30</f>
        <v>139500</v>
      </c>
      <c r="W43" s="182">
        <f t="shared" si="4"/>
        <v>0.15810000000000002</v>
      </c>
      <c r="X43" s="183">
        <f>'COMPUTATION SHEET'!AC30</f>
        <v>48</v>
      </c>
      <c r="Y43" s="184">
        <f t="shared" si="5"/>
        <v>4</v>
      </c>
      <c r="Z43" s="206" t="str">
        <f>AZ23</f>
        <v>15-0080</v>
      </c>
      <c r="AA43" s="186">
        <f>$AZ24</f>
        <v>42094</v>
      </c>
      <c r="AB43" s="186">
        <f>$AZ25</f>
        <v>42087</v>
      </c>
      <c r="AC43" s="186">
        <f>$AZ26</f>
        <v>42093</v>
      </c>
      <c r="AD43" s="186">
        <f>$AZ27</f>
        <v>42087</v>
      </c>
      <c r="AE43" s="186">
        <f>$AZ28</f>
        <v>42087</v>
      </c>
      <c r="AF43" s="186">
        <f>$AZ29</f>
        <v>42087</v>
      </c>
      <c r="AG43" s="186">
        <f>$AZ30</f>
        <v>42087</v>
      </c>
      <c r="AH43" s="186" t="str">
        <f>$AZ31</f>
        <v>NA</v>
      </c>
      <c r="AI43" s="186">
        <f>$AZ32</f>
        <v>2014</v>
      </c>
      <c r="AJ43" s="188" t="str">
        <f>$AZ33</f>
        <v>-</v>
      </c>
      <c r="AK43" s="186"/>
      <c r="AL43" s="189" t="str">
        <f>$AZ7</f>
        <v>LIMA</v>
      </c>
      <c r="AM43" s="190" t="str">
        <f>$AZ8</f>
        <v>NESTOR</v>
      </c>
      <c r="AN43" s="190" t="str">
        <f>$AZ9</f>
        <v>PELENO</v>
      </c>
      <c r="AO43" s="190" t="str">
        <f>$AZ10</f>
        <v>MARY GEN ISANAN LIMA</v>
      </c>
      <c r="AP43" s="190" t="str">
        <f>$AZ11</f>
        <v>PATONG STREET BRGY GUINSORONGAN CATBALOGAN CITY</v>
      </c>
      <c r="AQ43" s="191">
        <f>$AZ12</f>
        <v>130157835</v>
      </c>
      <c r="AR43" s="192">
        <f>$AZ13</f>
        <v>20219</v>
      </c>
      <c r="AS43" s="190" t="str">
        <f>$AZ15</f>
        <v>PROVINCE OF SAMAR4</v>
      </c>
      <c r="AT43" s="193" t="s">
        <v>160</v>
      </c>
      <c r="AV43" s="174"/>
      <c r="AX43" s="174"/>
      <c r="AZ43" s="174"/>
      <c r="BB43" s="174"/>
      <c r="BD43" s="174"/>
      <c r="BF43" s="174"/>
      <c r="BH43" s="174"/>
      <c r="BJ43" s="174"/>
      <c r="BL43" s="174"/>
      <c r="BN43" s="174"/>
      <c r="BP43" s="174"/>
      <c r="BR43" s="174"/>
      <c r="BT43" s="174"/>
      <c r="BV43" s="174"/>
      <c r="BX43" s="174"/>
      <c r="BZ43" s="174"/>
      <c r="CB43" s="174"/>
      <c r="CD43" s="174"/>
      <c r="CF43" s="174"/>
    </row>
    <row r="44" spans="1:124" s="151" customFormat="1" hidden="1" outlineLevel="2">
      <c r="D44" s="171"/>
      <c r="E44" s="174"/>
      <c r="F44" s="174"/>
      <c r="G44" s="173">
        <f ca="1">ROUNDDOWN((NOW()-E44)/365,0)</f>
        <v>126</v>
      </c>
      <c r="H44" s="173">
        <f ca="1">ROUNDDOWN((NOW()-F44)/365,0)</f>
        <v>126</v>
      </c>
      <c r="I44" s="174"/>
      <c r="J44" s="175"/>
      <c r="K44" s="174"/>
      <c r="L44" s="176">
        <f t="shared" si="6"/>
        <v>0</v>
      </c>
      <c r="M44" s="174"/>
      <c r="N44" s="174"/>
      <c r="O44" s="177">
        <f t="shared" si="7"/>
        <v>0.1</v>
      </c>
      <c r="P44" s="178">
        <f t="shared" si="8"/>
        <v>0</v>
      </c>
      <c r="Q44" s="178" t="e">
        <f t="shared" si="0"/>
        <v>#NUM!</v>
      </c>
      <c r="R44" s="179" t="e">
        <f t="shared" si="1"/>
        <v>#NUM!</v>
      </c>
      <c r="S44" s="179" t="e">
        <f t="shared" si="2"/>
        <v>#NUM!</v>
      </c>
      <c r="T44" s="180" t="str">
        <f t="shared" si="9"/>
        <v>NEW</v>
      </c>
      <c r="U44" s="179">
        <f t="shared" si="3"/>
        <v>0</v>
      </c>
      <c r="V44" s="181">
        <f>'COMPUTATION SHEET'!AA31</f>
        <v>0</v>
      </c>
      <c r="W44" s="182">
        <f t="shared" si="4"/>
        <v>0.12651000000000001</v>
      </c>
      <c r="X44" s="183">
        <f>'COMPUTATION SHEET'!AC31</f>
        <v>0</v>
      </c>
      <c r="Y44" s="184">
        <f t="shared" si="5"/>
        <v>0</v>
      </c>
      <c r="Z44" s="185"/>
      <c r="AA44" s="186"/>
      <c r="AB44" s="186"/>
      <c r="AC44" s="186"/>
      <c r="AD44" s="186"/>
      <c r="AE44" s="186"/>
      <c r="AF44" s="186"/>
      <c r="AG44" s="186"/>
      <c r="AH44" s="186"/>
      <c r="AI44" s="186"/>
      <c r="AJ44" s="188"/>
      <c r="AK44" s="186"/>
      <c r="AL44" s="189"/>
      <c r="AM44" s="190"/>
      <c r="AN44" s="190"/>
      <c r="AO44" s="190"/>
      <c r="AP44" s="190"/>
      <c r="AQ44" s="191"/>
      <c r="AR44" s="192"/>
      <c r="AS44" s="190"/>
      <c r="AT44" s="193" t="s">
        <v>160</v>
      </c>
      <c r="AV44" s="174"/>
      <c r="AX44" s="174"/>
      <c r="AZ44" s="174"/>
      <c r="BB44" s="174"/>
      <c r="BD44" s="174"/>
      <c r="BF44" s="174"/>
      <c r="BH44" s="174"/>
      <c r="BJ44" s="174"/>
      <c r="BL44" s="174"/>
      <c r="BN44" s="174"/>
      <c r="BP44" s="174"/>
      <c r="BR44" s="174"/>
      <c r="BT44" s="174"/>
      <c r="BV44" s="174"/>
      <c r="BX44" s="174"/>
      <c r="BZ44" s="174"/>
      <c r="CB44" s="174"/>
      <c r="CD44" s="174"/>
      <c r="CF44" s="174"/>
    </row>
    <row r="45" spans="1:124" s="151" customFormat="1" hidden="1" outlineLevel="1" collapsed="1">
      <c r="C45" s="151">
        <v>5</v>
      </c>
      <c r="D45" s="171" t="str">
        <f>BB37</f>
        <v>ALEGRIA, MARCIANO JR HERNANDEZ</v>
      </c>
      <c r="E45" s="172">
        <f>BB13</f>
        <v>26900</v>
      </c>
      <c r="F45" s="172">
        <f>BB14</f>
        <v>36297</v>
      </c>
      <c r="G45" s="173">
        <f t="shared" ref="G45:G75" ca="1" si="10">IF(E45&gt;0,ROUNDDOWN((NOW()-E45)/365,0),0)</f>
        <v>52</v>
      </c>
      <c r="H45" s="173">
        <f t="shared" ref="H45:H75" ca="1" si="11">IF(F45&gt;0,ROUNDDOWN((NOW()-F45)/365,0),0)</f>
        <v>26</v>
      </c>
      <c r="I45" s="174" t="str">
        <f>BB17</f>
        <v>ADMIN AIDE III</v>
      </c>
      <c r="J45" s="175">
        <f>BB18</f>
        <v>10931</v>
      </c>
      <c r="K45" s="176">
        <f>BB19</f>
        <v>2000</v>
      </c>
      <c r="L45" s="176">
        <f t="shared" si="6"/>
        <v>12931</v>
      </c>
      <c r="M45" s="176">
        <f>BB20</f>
        <v>7761</v>
      </c>
      <c r="N45" s="176">
        <f>BB21</f>
        <v>2999.23</v>
      </c>
      <c r="O45" s="177">
        <f t="shared" si="7"/>
        <v>0.25</v>
      </c>
      <c r="P45" s="178">
        <f t="shared" si="8"/>
        <v>3232.75</v>
      </c>
      <c r="Q45" s="178">
        <f t="shared" si="0"/>
        <v>3879.1851513508141</v>
      </c>
      <c r="R45" s="179">
        <f t="shared" si="1"/>
        <v>8640.955151350814</v>
      </c>
      <c r="S45" s="179">
        <f t="shared" si="2"/>
        <v>4290.044848649186</v>
      </c>
      <c r="T45" s="180" t="str">
        <f t="shared" si="9"/>
        <v>RENEWAL</v>
      </c>
      <c r="U45" s="179">
        <f t="shared" si="3"/>
        <v>114461.72203081947</v>
      </c>
      <c r="V45" s="181">
        <f>'COMPUTATION SHEET'!AA32</f>
        <v>137350</v>
      </c>
      <c r="W45" s="182">
        <f t="shared" si="4"/>
        <v>0.15810000000000002</v>
      </c>
      <c r="X45" s="183">
        <f>'COMPUTATION SHEET'!AC32</f>
        <v>48</v>
      </c>
      <c r="Y45" s="184">
        <f t="shared" si="5"/>
        <v>5</v>
      </c>
      <c r="Z45" s="185">
        <f>BB23</f>
        <v>0</v>
      </c>
      <c r="AA45" s="186">
        <f>$BB24</f>
        <v>42100</v>
      </c>
      <c r="AB45" s="186">
        <f>$BB25</f>
        <v>42095</v>
      </c>
      <c r="AC45" s="186">
        <f>$BB26</f>
        <v>42100</v>
      </c>
      <c r="AD45" s="186">
        <f>$BB27</f>
        <v>42090</v>
      </c>
      <c r="AE45" s="186">
        <f>$BB28</f>
        <v>42100</v>
      </c>
      <c r="AF45" s="186">
        <f>$BB29</f>
        <v>42089</v>
      </c>
      <c r="AG45" s="186">
        <f>$BB30</f>
        <v>42089</v>
      </c>
      <c r="AH45" s="186" t="str">
        <f>$BB31</f>
        <v>NA</v>
      </c>
      <c r="AI45" s="186">
        <f>$BB32</f>
        <v>2014</v>
      </c>
      <c r="AJ45" s="188">
        <f>$BB33</f>
        <v>0</v>
      </c>
      <c r="AK45" s="186"/>
      <c r="AL45" s="189" t="str">
        <f>$BB7</f>
        <v>ALEGRIA</v>
      </c>
      <c r="AM45" s="190" t="str">
        <f>$BB8</f>
        <v>MARCIANO JR</v>
      </c>
      <c r="AN45" s="190" t="str">
        <f>$BB9</f>
        <v>HERNANDEZ</v>
      </c>
      <c r="AO45" s="190" t="str">
        <f>$BB10</f>
        <v>MARILYN SOLAYAO ALEGRIA</v>
      </c>
      <c r="AP45" s="190" t="str">
        <f>$BB11</f>
        <v>P2 BRGY JIA AN JIABONG SAMAR</v>
      </c>
      <c r="AQ45" s="191">
        <f>$BB12</f>
        <v>905838005</v>
      </c>
      <c r="AR45" s="192">
        <f>$BB13</f>
        <v>26900</v>
      </c>
      <c r="AS45" s="190" t="str">
        <f>$BB15</f>
        <v>PROVINCE OF SAMAR5</v>
      </c>
      <c r="AT45" s="193" t="s">
        <v>160</v>
      </c>
      <c r="AV45" s="174"/>
      <c r="AX45" s="174"/>
      <c r="AZ45" s="174"/>
      <c r="BB45" s="174"/>
      <c r="BD45" s="174"/>
      <c r="BF45" s="174"/>
      <c r="BH45" s="174"/>
      <c r="BJ45" s="174"/>
      <c r="BL45" s="174"/>
      <c r="BN45" s="174"/>
      <c r="BP45" s="174"/>
      <c r="BR45" s="174"/>
      <c r="BT45" s="174"/>
      <c r="BV45" s="174"/>
      <c r="BX45" s="174"/>
      <c r="BZ45" s="174"/>
      <c r="CB45" s="174"/>
      <c r="CD45" s="174"/>
      <c r="CF45" s="174"/>
    </row>
    <row r="46" spans="1:124" s="151" customFormat="1" hidden="1" outlineLevel="2">
      <c r="D46" s="171"/>
      <c r="E46" s="174"/>
      <c r="F46" s="174"/>
      <c r="G46" s="173">
        <f t="shared" ca="1" si="10"/>
        <v>0</v>
      </c>
      <c r="H46" s="173">
        <f t="shared" ca="1" si="11"/>
        <v>0</v>
      </c>
      <c r="I46" s="174"/>
      <c r="J46" s="175"/>
      <c r="K46" s="174"/>
      <c r="L46" s="176">
        <f t="shared" si="6"/>
        <v>0</v>
      </c>
      <c r="M46" s="174"/>
      <c r="N46" s="174"/>
      <c r="O46" s="177">
        <f t="shared" si="7"/>
        <v>0.1</v>
      </c>
      <c r="P46" s="178">
        <f t="shared" si="8"/>
        <v>0</v>
      </c>
      <c r="Q46" s="178" t="e">
        <f t="shared" si="0"/>
        <v>#NUM!</v>
      </c>
      <c r="R46" s="179" t="e">
        <f t="shared" si="1"/>
        <v>#NUM!</v>
      </c>
      <c r="S46" s="179" t="e">
        <f t="shared" si="2"/>
        <v>#NUM!</v>
      </c>
      <c r="T46" s="180" t="str">
        <f t="shared" si="9"/>
        <v>NEW</v>
      </c>
      <c r="U46" s="179">
        <f t="shared" si="3"/>
        <v>0</v>
      </c>
      <c r="V46" s="181">
        <f>'COMPUTATION SHEET'!AA33</f>
        <v>0</v>
      </c>
      <c r="W46" s="182">
        <f t="shared" si="4"/>
        <v>0.12651000000000001</v>
      </c>
      <c r="X46" s="183">
        <f>'COMPUTATION SHEET'!AC33</f>
        <v>0</v>
      </c>
      <c r="Y46" s="184">
        <f t="shared" si="5"/>
        <v>0</v>
      </c>
      <c r="Z46" s="185"/>
      <c r="AA46" s="186"/>
      <c r="AB46" s="186"/>
      <c r="AC46" s="186"/>
      <c r="AD46" s="186"/>
      <c r="AE46" s="186"/>
      <c r="AF46" s="186"/>
      <c r="AG46" s="186"/>
      <c r="AH46" s="186"/>
      <c r="AI46" s="186"/>
      <c r="AJ46" s="188"/>
      <c r="AK46" s="186"/>
      <c r="AL46" s="189"/>
      <c r="AM46" s="190"/>
      <c r="AN46" s="190"/>
      <c r="AO46" s="190"/>
      <c r="AP46" s="190"/>
      <c r="AQ46" s="191"/>
      <c r="AR46" s="192"/>
      <c r="AS46" s="190"/>
      <c r="AT46" s="193" t="s">
        <v>160</v>
      </c>
      <c r="AV46" s="174"/>
      <c r="AX46" s="174"/>
      <c r="AZ46" s="174"/>
      <c r="BB46" s="174"/>
      <c r="BD46" s="174"/>
      <c r="BF46" s="174"/>
      <c r="BH46" s="174"/>
      <c r="BJ46" s="174"/>
      <c r="BL46" s="174"/>
      <c r="BN46" s="174"/>
      <c r="BP46" s="174"/>
      <c r="BR46" s="174"/>
      <c r="BT46" s="174"/>
      <c r="BV46" s="174"/>
      <c r="BX46" s="174"/>
      <c r="BZ46" s="174"/>
      <c r="CB46" s="174"/>
      <c r="CD46" s="174"/>
      <c r="CF46" s="174"/>
    </row>
    <row r="47" spans="1:124" s="151" customFormat="1" hidden="1" outlineLevel="1" collapsed="1">
      <c r="C47" s="151">
        <v>6</v>
      </c>
      <c r="D47" s="171" t="str">
        <f>BD37</f>
        <v>GACELOS, MANOLITO ABARRACOSO</v>
      </c>
      <c r="E47" s="172">
        <f>BD13</f>
        <v>28260</v>
      </c>
      <c r="F47" s="172">
        <f>BD14</f>
        <v>40252</v>
      </c>
      <c r="G47" s="173">
        <f t="shared" ca="1" si="10"/>
        <v>48</v>
      </c>
      <c r="H47" s="173">
        <f t="shared" ca="1" si="11"/>
        <v>15</v>
      </c>
      <c r="I47" s="174" t="str">
        <f>BD17</f>
        <v>DRIVER I</v>
      </c>
      <c r="J47" s="175">
        <f>BD18</f>
        <v>10505</v>
      </c>
      <c r="K47" s="176">
        <f>BD19</f>
        <v>3650</v>
      </c>
      <c r="L47" s="176">
        <f t="shared" si="6"/>
        <v>14155</v>
      </c>
      <c r="M47" s="176">
        <f>BD20</f>
        <v>2357.9899999999998</v>
      </c>
      <c r="N47" s="176">
        <f>BD21</f>
        <v>0</v>
      </c>
      <c r="O47" s="177">
        <f t="shared" si="7"/>
        <v>0.3</v>
      </c>
      <c r="P47" s="178">
        <f t="shared" si="8"/>
        <v>4246.5</v>
      </c>
      <c r="Q47" s="178">
        <f t="shared" si="0"/>
        <v>4244.9328594687095</v>
      </c>
      <c r="R47" s="179">
        <f t="shared" si="1"/>
        <v>6602.9228594687092</v>
      </c>
      <c r="S47" s="179">
        <f t="shared" si="2"/>
        <v>7552.0771405312908</v>
      </c>
      <c r="T47" s="180" t="str">
        <f t="shared" si="9"/>
        <v>NEW</v>
      </c>
      <c r="U47" s="179">
        <f t="shared" si="3"/>
        <v>150355.48762009895</v>
      </c>
      <c r="V47" s="181">
        <f>'COMPUTATION SHEET'!AA34</f>
        <v>150300</v>
      </c>
      <c r="W47" s="182">
        <f t="shared" si="4"/>
        <v>0.15810000000000002</v>
      </c>
      <c r="X47" s="183">
        <f>'COMPUTATION SHEET'!AC34</f>
        <v>48</v>
      </c>
      <c r="Y47" s="184">
        <f t="shared" si="5"/>
        <v>6</v>
      </c>
      <c r="Z47" s="185">
        <f>BD23</f>
        <v>0</v>
      </c>
      <c r="AA47" s="186">
        <f>$BD24</f>
        <v>42101</v>
      </c>
      <c r="AB47" s="186">
        <f>$BD25</f>
        <v>42101</v>
      </c>
      <c r="AC47" s="186">
        <f>$BD26</f>
        <v>42101</v>
      </c>
      <c r="AD47" s="186">
        <f>$BD27</f>
        <v>42101</v>
      </c>
      <c r="AE47" s="186">
        <f>$BD28</f>
        <v>42101</v>
      </c>
      <c r="AF47" s="186">
        <f>$BD29</f>
        <v>42101</v>
      </c>
      <c r="AG47" s="186">
        <f>$BD30</f>
        <v>42101</v>
      </c>
      <c r="AH47" s="186" t="str">
        <f>$BD31</f>
        <v>NA</v>
      </c>
      <c r="AI47" s="186">
        <f>$BD32</f>
        <v>2014</v>
      </c>
      <c r="AJ47" s="188">
        <f>$BD33</f>
        <v>0</v>
      </c>
      <c r="AK47" s="186"/>
      <c r="AL47" s="189" t="str">
        <f>$BD7</f>
        <v>GACELOS</v>
      </c>
      <c r="AM47" s="190" t="str">
        <f>$BD8</f>
        <v>MANOLITO</v>
      </c>
      <c r="AN47" s="190" t="str">
        <f>$BD9</f>
        <v>ABARRACOSO</v>
      </c>
      <c r="AO47" s="190" t="str">
        <f>$BD10</f>
        <v>CHERIE N GACELOS</v>
      </c>
      <c r="AP47" s="190" t="str">
        <f>$BD11</f>
        <v>BRGY RAWIS HINABANGAN SAMAR</v>
      </c>
      <c r="AQ47" s="191">
        <f>$BD12</f>
        <v>400532413</v>
      </c>
      <c r="AR47" s="192">
        <f>$BD13</f>
        <v>28260</v>
      </c>
      <c r="AS47" s="190" t="str">
        <f>$BD15</f>
        <v>PROVINCE OF SAMAR6</v>
      </c>
      <c r="AT47" s="193" t="s">
        <v>160</v>
      </c>
      <c r="AV47" s="174"/>
      <c r="AX47" s="174"/>
      <c r="AZ47" s="174"/>
      <c r="BB47" s="174"/>
      <c r="BD47" s="174"/>
      <c r="BF47" s="174"/>
      <c r="BH47" s="174"/>
      <c r="BJ47" s="174"/>
      <c r="BL47" s="174"/>
      <c r="BN47" s="174"/>
      <c r="BP47" s="174"/>
      <c r="BR47" s="174"/>
      <c r="BT47" s="174"/>
      <c r="BV47" s="174"/>
      <c r="BX47" s="174"/>
      <c r="BZ47" s="174"/>
      <c r="CB47" s="174"/>
      <c r="CD47" s="174"/>
      <c r="CF47" s="174"/>
    </row>
    <row r="48" spans="1:124" s="151" customFormat="1" hidden="1" outlineLevel="2">
      <c r="D48" s="171"/>
      <c r="E48" s="174"/>
      <c r="F48" s="174"/>
      <c r="G48" s="173">
        <f t="shared" ca="1" si="10"/>
        <v>0</v>
      </c>
      <c r="H48" s="173">
        <f t="shared" ca="1" si="11"/>
        <v>0</v>
      </c>
      <c r="I48" s="174"/>
      <c r="J48" s="175"/>
      <c r="K48" s="174"/>
      <c r="L48" s="176">
        <f t="shared" si="6"/>
        <v>0</v>
      </c>
      <c r="M48" s="174"/>
      <c r="N48" s="174"/>
      <c r="O48" s="177">
        <f t="shared" si="7"/>
        <v>0.1</v>
      </c>
      <c r="P48" s="178">
        <f t="shared" si="8"/>
        <v>0</v>
      </c>
      <c r="Q48" s="178" t="e">
        <f t="shared" si="0"/>
        <v>#NUM!</v>
      </c>
      <c r="R48" s="179" t="e">
        <f t="shared" si="1"/>
        <v>#NUM!</v>
      </c>
      <c r="S48" s="179" t="e">
        <f t="shared" si="2"/>
        <v>#NUM!</v>
      </c>
      <c r="T48" s="180" t="str">
        <f t="shared" si="9"/>
        <v>NEW</v>
      </c>
      <c r="U48" s="179">
        <f t="shared" si="3"/>
        <v>0</v>
      </c>
      <c r="V48" s="181">
        <f>'COMPUTATION SHEET'!AA35</f>
        <v>0</v>
      </c>
      <c r="W48" s="182">
        <f t="shared" si="4"/>
        <v>0.12651000000000001</v>
      </c>
      <c r="X48" s="183">
        <f>'COMPUTATION SHEET'!AC35</f>
        <v>0</v>
      </c>
      <c r="Y48" s="184">
        <f t="shared" si="5"/>
        <v>0</v>
      </c>
      <c r="Z48" s="185"/>
      <c r="AA48" s="186"/>
      <c r="AB48" s="186"/>
      <c r="AC48" s="186"/>
      <c r="AD48" s="186"/>
      <c r="AE48" s="186"/>
      <c r="AF48" s="186"/>
      <c r="AG48" s="186"/>
      <c r="AH48" s="186"/>
      <c r="AI48" s="186"/>
      <c r="AJ48" s="188"/>
      <c r="AK48" s="186"/>
      <c r="AL48" s="189"/>
      <c r="AM48" s="190"/>
      <c r="AN48" s="190"/>
      <c r="AO48" s="190"/>
      <c r="AP48" s="190"/>
      <c r="AQ48" s="191"/>
      <c r="AR48" s="192"/>
      <c r="AS48" s="190"/>
      <c r="AT48" s="193" t="s">
        <v>160</v>
      </c>
      <c r="AV48" s="174"/>
      <c r="AX48" s="174"/>
      <c r="AZ48" s="174"/>
      <c r="BB48" s="174"/>
      <c r="BD48" s="174"/>
      <c r="BF48" s="174"/>
      <c r="BH48" s="174"/>
      <c r="BJ48" s="174"/>
      <c r="BL48" s="174"/>
      <c r="BN48" s="174"/>
      <c r="BP48" s="174"/>
      <c r="BR48" s="174"/>
      <c r="BT48" s="174"/>
      <c r="BV48" s="174"/>
      <c r="BX48" s="174"/>
      <c r="BZ48" s="174"/>
      <c r="CB48" s="174"/>
      <c r="CD48" s="174"/>
      <c r="CF48" s="174"/>
    </row>
    <row r="49" spans="3:84" s="151" customFormat="1" hidden="1" outlineLevel="1" collapsed="1">
      <c r="C49" s="151">
        <v>7</v>
      </c>
      <c r="D49" s="171" t="str">
        <f>BF37</f>
        <v>GONZALES, LEONILA HILONGO</v>
      </c>
      <c r="E49" s="172">
        <f>BF13</f>
        <v>20852</v>
      </c>
      <c r="F49" s="172">
        <f>BF14</f>
        <v>30376</v>
      </c>
      <c r="G49" s="173">
        <f t="shared" ca="1" si="10"/>
        <v>69</v>
      </c>
      <c r="H49" s="173">
        <f t="shared" ca="1" si="11"/>
        <v>43</v>
      </c>
      <c r="I49" s="174" t="str">
        <f>BF17</f>
        <v>DENTIST II</v>
      </c>
      <c r="J49" s="175">
        <f>BF18</f>
        <v>31339</v>
      </c>
      <c r="K49" s="176">
        <f>BF19</f>
        <v>3650</v>
      </c>
      <c r="L49" s="176">
        <f t="shared" si="6"/>
        <v>34989</v>
      </c>
      <c r="M49" s="176">
        <f>BF20</f>
        <v>21547.08</v>
      </c>
      <c r="N49" s="176">
        <f>BF21</f>
        <v>8404.99</v>
      </c>
      <c r="O49" s="177">
        <f t="shared" si="7"/>
        <v>0.3</v>
      </c>
      <c r="P49" s="178">
        <f t="shared" si="8"/>
        <v>10496.699999999999</v>
      </c>
      <c r="Q49" s="178">
        <f t="shared" si="0"/>
        <v>12243.369225413744</v>
      </c>
      <c r="R49" s="179">
        <f t="shared" si="1"/>
        <v>25385.459225413746</v>
      </c>
      <c r="S49" s="179">
        <f t="shared" si="2"/>
        <v>9603.540774586254</v>
      </c>
      <c r="T49" s="180" t="str">
        <f t="shared" si="9"/>
        <v>RENEWAL</v>
      </c>
      <c r="U49" s="179">
        <f t="shared" si="3"/>
        <v>371655.82171244378</v>
      </c>
      <c r="V49" s="181">
        <f>'COMPUTATION SHEET'!AA36</f>
        <v>433500</v>
      </c>
      <c r="W49" s="182">
        <f t="shared" si="4"/>
        <v>0.15810000000000002</v>
      </c>
      <c r="X49" s="183">
        <f>'COMPUTATION SHEET'!AC36</f>
        <v>48</v>
      </c>
      <c r="Y49" s="184">
        <f t="shared" si="5"/>
        <v>7</v>
      </c>
      <c r="Z49" s="185">
        <f>BF23</f>
        <v>0</v>
      </c>
      <c r="AA49" s="186">
        <f>$BF24</f>
        <v>42100</v>
      </c>
      <c r="AB49" s="186">
        <f>$BF25</f>
        <v>42100</v>
      </c>
      <c r="AC49" s="186">
        <f>$BF26</f>
        <v>42095</v>
      </c>
      <c r="AD49" s="186">
        <f>$BF27</f>
        <v>42095</v>
      </c>
      <c r="AE49" s="186">
        <f>$BF28</f>
        <v>42095</v>
      </c>
      <c r="AF49" s="186">
        <f>$BF29</f>
        <v>42095</v>
      </c>
      <c r="AG49" s="186">
        <f>$BF30</f>
        <v>42095</v>
      </c>
      <c r="AH49" s="186" t="str">
        <f>$BF31</f>
        <v>NA</v>
      </c>
      <c r="AI49" s="186">
        <f>$BF32</f>
        <v>2014</v>
      </c>
      <c r="AJ49" s="188">
        <f>$BF33</f>
        <v>0</v>
      </c>
      <c r="AK49" s="186"/>
      <c r="AL49" s="189" t="str">
        <f>$BF7</f>
        <v>GONZALES</v>
      </c>
      <c r="AM49" s="190" t="str">
        <f>$BF8</f>
        <v>LEONILA</v>
      </c>
      <c r="AN49" s="190" t="str">
        <f>$BF9</f>
        <v>HILONGO</v>
      </c>
      <c r="AO49" s="190">
        <f>$BF10</f>
        <v>0</v>
      </c>
      <c r="AP49" s="190" t="str">
        <f>$BF11</f>
        <v>BRGY SAN JOSE ALMAGRO WESTERN SAMAR</v>
      </c>
      <c r="AQ49" s="191">
        <f>$BF12</f>
        <v>129842327</v>
      </c>
      <c r="AR49" s="192">
        <f>$BF13</f>
        <v>20852</v>
      </c>
      <c r="AS49" s="190" t="str">
        <f>$BF15</f>
        <v>PROVINCE OF SAMAR7</v>
      </c>
      <c r="AT49" s="193" t="s">
        <v>160</v>
      </c>
      <c r="AV49" s="174"/>
      <c r="AX49" s="174"/>
      <c r="AZ49" s="174"/>
      <c r="BB49" s="174"/>
      <c r="BD49" s="174"/>
      <c r="BF49" s="174"/>
      <c r="BH49" s="174"/>
      <c r="BJ49" s="174"/>
      <c r="BL49" s="174"/>
      <c r="BN49" s="174"/>
      <c r="BP49" s="174"/>
      <c r="BR49" s="174"/>
      <c r="BT49" s="174"/>
      <c r="BV49" s="174"/>
      <c r="BX49" s="174"/>
      <c r="BZ49" s="174"/>
      <c r="CB49" s="174"/>
      <c r="CD49" s="174"/>
      <c r="CF49" s="174"/>
    </row>
    <row r="50" spans="3:84" s="151" customFormat="1" hidden="1" outlineLevel="2">
      <c r="D50" s="171"/>
      <c r="E50" s="174"/>
      <c r="F50" s="174"/>
      <c r="G50" s="173">
        <f t="shared" ca="1" si="10"/>
        <v>0</v>
      </c>
      <c r="H50" s="173">
        <f t="shared" ca="1" si="11"/>
        <v>0</v>
      </c>
      <c r="I50" s="174"/>
      <c r="J50" s="175"/>
      <c r="K50" s="174"/>
      <c r="L50" s="176">
        <f t="shared" si="6"/>
        <v>0</v>
      </c>
      <c r="M50" s="174"/>
      <c r="N50" s="174"/>
      <c r="O50" s="177">
        <f t="shared" si="7"/>
        <v>0.1</v>
      </c>
      <c r="P50" s="178">
        <f t="shared" si="8"/>
        <v>0</v>
      </c>
      <c r="Q50" s="178" t="e">
        <f t="shared" si="0"/>
        <v>#NUM!</v>
      </c>
      <c r="R50" s="179" t="e">
        <f t="shared" si="1"/>
        <v>#NUM!</v>
      </c>
      <c r="S50" s="179" t="e">
        <f t="shared" si="2"/>
        <v>#NUM!</v>
      </c>
      <c r="T50" s="180" t="str">
        <f t="shared" si="9"/>
        <v>NEW</v>
      </c>
      <c r="U50" s="179">
        <f t="shared" si="3"/>
        <v>0</v>
      </c>
      <c r="V50" s="181">
        <f>'COMPUTATION SHEET'!AA37</f>
        <v>0</v>
      </c>
      <c r="W50" s="182">
        <f t="shared" si="4"/>
        <v>0.12651000000000001</v>
      </c>
      <c r="X50" s="183">
        <f>'COMPUTATION SHEET'!AC37</f>
        <v>0</v>
      </c>
      <c r="Y50" s="184">
        <f t="shared" si="5"/>
        <v>0</v>
      </c>
      <c r="Z50" s="185"/>
      <c r="AA50" s="186"/>
      <c r="AB50" s="186"/>
      <c r="AC50" s="186"/>
      <c r="AD50" s="186"/>
      <c r="AE50" s="186"/>
      <c r="AF50" s="186"/>
      <c r="AG50" s="186"/>
      <c r="AH50" s="186"/>
      <c r="AI50" s="186"/>
      <c r="AJ50" s="188"/>
      <c r="AK50" s="186"/>
      <c r="AL50" s="189"/>
      <c r="AM50" s="190"/>
      <c r="AN50" s="190"/>
      <c r="AO50" s="190"/>
      <c r="AP50" s="190"/>
      <c r="AQ50" s="191"/>
      <c r="AR50" s="192"/>
      <c r="AS50" s="190"/>
      <c r="AT50" s="193" t="s">
        <v>160</v>
      </c>
      <c r="AV50" s="174"/>
      <c r="AX50" s="174"/>
      <c r="AZ50" s="174"/>
      <c r="BB50" s="174"/>
      <c r="BD50" s="174"/>
      <c r="BF50" s="174"/>
      <c r="BH50" s="174"/>
      <c r="BJ50" s="174"/>
      <c r="BL50" s="174"/>
      <c r="BN50" s="174"/>
      <c r="BP50" s="174"/>
      <c r="BR50" s="174"/>
      <c r="BT50" s="174"/>
      <c r="BV50" s="174"/>
      <c r="BX50" s="174"/>
      <c r="BZ50" s="174"/>
      <c r="CB50" s="174"/>
      <c r="CD50" s="174"/>
      <c r="CF50" s="174"/>
    </row>
    <row r="51" spans="3:84" s="151" customFormat="1" hidden="1" outlineLevel="1" collapsed="1">
      <c r="C51" s="151">
        <v>8</v>
      </c>
      <c r="D51" s="171" t="str">
        <f>BH37</f>
        <v>MAYOR, CHONA BRANZUELA</v>
      </c>
      <c r="E51" s="172">
        <f>BH13</f>
        <v>24599</v>
      </c>
      <c r="F51" s="172">
        <f>BH14</f>
        <v>39114</v>
      </c>
      <c r="G51" s="173">
        <f t="shared" ca="1" si="10"/>
        <v>58</v>
      </c>
      <c r="H51" s="173">
        <f t="shared" ca="1" si="11"/>
        <v>19</v>
      </c>
      <c r="I51" s="174" t="str">
        <f>BH17</f>
        <v>DENTAL AIDE</v>
      </c>
      <c r="J51" s="175">
        <f>BH18</f>
        <v>11405</v>
      </c>
      <c r="K51" s="176">
        <f>BH19</f>
        <v>3650</v>
      </c>
      <c r="L51" s="176">
        <f t="shared" si="6"/>
        <v>15055</v>
      </c>
      <c r="M51" s="176">
        <f>BH20</f>
        <v>8448.6200000000008</v>
      </c>
      <c r="N51" s="176">
        <f>BH21</f>
        <v>3057.58</v>
      </c>
      <c r="O51" s="177">
        <f t="shared" si="7"/>
        <v>0.3</v>
      </c>
      <c r="P51" s="178">
        <f t="shared" si="8"/>
        <v>4516.5</v>
      </c>
      <c r="Q51" s="178">
        <f t="shared" si="0"/>
        <v>5267.3318582229831</v>
      </c>
      <c r="R51" s="179">
        <f t="shared" si="1"/>
        <v>10658.371858222985</v>
      </c>
      <c r="S51" s="179">
        <f t="shared" si="2"/>
        <v>4396.6281417770151</v>
      </c>
      <c r="T51" s="180" t="str">
        <f t="shared" si="9"/>
        <v>RENEWAL</v>
      </c>
      <c r="U51" s="179">
        <f t="shared" si="3"/>
        <v>159915.35613709572</v>
      </c>
      <c r="V51" s="181">
        <f>'COMPUTATION SHEET'!AA38</f>
        <v>186500</v>
      </c>
      <c r="W51" s="182">
        <f t="shared" si="4"/>
        <v>0.15810000000000002</v>
      </c>
      <c r="X51" s="183">
        <f>'COMPUTATION SHEET'!AC38</f>
        <v>48</v>
      </c>
      <c r="Y51" s="184">
        <f t="shared" si="5"/>
        <v>8</v>
      </c>
      <c r="Z51" s="185">
        <f>BH23</f>
        <v>0</v>
      </c>
      <c r="AA51" s="186">
        <f>$BH24</f>
        <v>42100</v>
      </c>
      <c r="AB51" s="186">
        <f>$BH25</f>
        <v>42100</v>
      </c>
      <c r="AC51" s="186">
        <f>$BH26</f>
        <v>42100</v>
      </c>
      <c r="AD51" s="186">
        <f>$BH27</f>
        <v>42095</v>
      </c>
      <c r="AE51" s="186">
        <f>$BH28</f>
        <v>42095</v>
      </c>
      <c r="AF51" s="186">
        <f>$BH29</f>
        <v>42095</v>
      </c>
      <c r="AG51" s="186">
        <f>$BH30</f>
        <v>42094</v>
      </c>
      <c r="AH51" s="186" t="str">
        <f>$BH31</f>
        <v>NA</v>
      </c>
      <c r="AI51" s="186">
        <f>$BH32</f>
        <v>2014</v>
      </c>
      <c r="AJ51" s="188">
        <f>$BH33</f>
        <v>0</v>
      </c>
      <c r="AK51" s="186"/>
      <c r="AL51" s="189" t="str">
        <f>$BH7</f>
        <v>MAYOR</v>
      </c>
      <c r="AM51" s="190" t="str">
        <f>$BH8</f>
        <v>CHONA</v>
      </c>
      <c r="AN51" s="190" t="str">
        <f>$BH9</f>
        <v>BRANZUELA</v>
      </c>
      <c r="AO51" s="190" t="str">
        <f>$BH10</f>
        <v>VENG JAYCO B MAYOR</v>
      </c>
      <c r="AP51" s="190" t="str">
        <f>$BH11</f>
        <v>BRGY PANJOBJOBAN ALMAGRO SAMAR</v>
      </c>
      <c r="AQ51" s="191">
        <f>$BH12</f>
        <v>947543937</v>
      </c>
      <c r="AR51" s="192">
        <f>$BH13</f>
        <v>24599</v>
      </c>
      <c r="AS51" s="190" t="str">
        <f>$BH15</f>
        <v>PROVINCE OF SAMAR4</v>
      </c>
      <c r="AT51" s="193" t="s">
        <v>160</v>
      </c>
      <c r="AV51" s="174"/>
      <c r="AX51" s="174"/>
      <c r="AZ51" s="174"/>
      <c r="BB51" s="174"/>
      <c r="BD51" s="174"/>
      <c r="BF51" s="174"/>
      <c r="BH51" s="174"/>
      <c r="BJ51" s="174"/>
      <c r="BL51" s="174"/>
      <c r="BN51" s="174"/>
      <c r="BP51" s="174"/>
      <c r="BR51" s="174"/>
      <c r="BT51" s="174"/>
      <c r="BV51" s="174"/>
      <c r="BX51" s="174"/>
      <c r="BZ51" s="174"/>
      <c r="CB51" s="174"/>
      <c r="CD51" s="174"/>
      <c r="CF51" s="174"/>
    </row>
    <row r="52" spans="3:84" s="151" customFormat="1" hidden="1" outlineLevel="2">
      <c r="D52" s="171"/>
      <c r="E52" s="174"/>
      <c r="F52" s="174"/>
      <c r="G52" s="173">
        <f t="shared" ca="1" si="10"/>
        <v>0</v>
      </c>
      <c r="H52" s="173">
        <f t="shared" ca="1" si="11"/>
        <v>0</v>
      </c>
      <c r="I52" s="174"/>
      <c r="J52" s="175"/>
      <c r="K52" s="174"/>
      <c r="L52" s="176">
        <f t="shared" si="6"/>
        <v>0</v>
      </c>
      <c r="M52" s="174"/>
      <c r="N52" s="174"/>
      <c r="O52" s="177">
        <f t="shared" si="7"/>
        <v>0.1</v>
      </c>
      <c r="P52" s="178">
        <f t="shared" si="8"/>
        <v>0</v>
      </c>
      <c r="Q52" s="178" t="e">
        <f t="shared" si="0"/>
        <v>#NUM!</v>
      </c>
      <c r="R52" s="179" t="e">
        <f t="shared" si="1"/>
        <v>#NUM!</v>
      </c>
      <c r="S52" s="179" t="e">
        <f t="shared" si="2"/>
        <v>#NUM!</v>
      </c>
      <c r="T52" s="180" t="str">
        <f t="shared" si="9"/>
        <v>NEW</v>
      </c>
      <c r="U52" s="179">
        <f t="shared" si="3"/>
        <v>0</v>
      </c>
      <c r="V52" s="181">
        <f>'COMPUTATION SHEET'!AA39</f>
        <v>0</v>
      </c>
      <c r="W52" s="182">
        <f t="shared" si="4"/>
        <v>0.12651000000000001</v>
      </c>
      <c r="X52" s="183">
        <f>'COMPUTATION SHEET'!AC39</f>
        <v>0</v>
      </c>
      <c r="Y52" s="184">
        <f t="shared" si="5"/>
        <v>0</v>
      </c>
      <c r="Z52" s="185"/>
      <c r="AA52" s="186"/>
      <c r="AB52" s="186"/>
      <c r="AC52" s="186"/>
      <c r="AD52" s="186"/>
      <c r="AE52" s="186"/>
      <c r="AF52" s="186"/>
      <c r="AG52" s="186"/>
      <c r="AH52" s="186"/>
      <c r="AI52" s="186"/>
      <c r="AJ52" s="188"/>
      <c r="AK52" s="186"/>
      <c r="AL52" s="189"/>
      <c r="AM52" s="190"/>
      <c r="AN52" s="190"/>
      <c r="AO52" s="190"/>
      <c r="AP52" s="190"/>
      <c r="AQ52" s="191"/>
      <c r="AR52" s="192"/>
      <c r="AS52" s="190"/>
      <c r="AT52" s="193" t="s">
        <v>160</v>
      </c>
      <c r="AV52" s="174"/>
      <c r="AX52" s="174"/>
      <c r="AZ52" s="174"/>
      <c r="BB52" s="174"/>
      <c r="BD52" s="174"/>
      <c r="BF52" s="174"/>
      <c r="BH52" s="174"/>
      <c r="BJ52" s="174"/>
      <c r="BL52" s="174"/>
      <c r="BN52" s="174"/>
      <c r="BP52" s="174"/>
      <c r="BR52" s="174"/>
      <c r="BT52" s="174"/>
      <c r="BV52" s="174"/>
      <c r="BX52" s="174"/>
      <c r="BZ52" s="174"/>
      <c r="CB52" s="174"/>
      <c r="CD52" s="174"/>
      <c r="CF52" s="174"/>
    </row>
    <row r="53" spans="3:84" s="151" customFormat="1" hidden="1" outlineLevel="1" collapsed="1">
      <c r="C53" s="151">
        <v>9</v>
      </c>
      <c r="D53" s="171" t="str">
        <f>BJ37</f>
        <v>YBOA, JONAS ABELIDO</v>
      </c>
      <c r="E53" s="172">
        <f>BJ13</f>
        <v>25868</v>
      </c>
      <c r="F53" s="172">
        <f>BJ14</f>
        <v>35492</v>
      </c>
      <c r="G53" s="173">
        <f t="shared" ca="1" si="10"/>
        <v>55</v>
      </c>
      <c r="H53" s="173">
        <f t="shared" ca="1" si="11"/>
        <v>29</v>
      </c>
      <c r="I53" s="174" t="str">
        <f>BJ17</f>
        <v>ADMIN AIDE VI</v>
      </c>
      <c r="J53" s="175">
        <f>BJ18</f>
        <v>13580</v>
      </c>
      <c r="K53" s="176">
        <f>BJ19</f>
        <v>2000</v>
      </c>
      <c r="L53" s="176">
        <f t="shared" si="6"/>
        <v>15580</v>
      </c>
      <c r="M53" s="176">
        <f>BJ20</f>
        <v>10473.620000000001</v>
      </c>
      <c r="N53" s="176">
        <f>BJ21</f>
        <v>3640.94</v>
      </c>
      <c r="O53" s="177">
        <f t="shared" si="7"/>
        <v>0.3</v>
      </c>
      <c r="P53" s="178">
        <f t="shared" si="8"/>
        <v>4674</v>
      </c>
      <c r="Q53" s="178">
        <f t="shared" si="0"/>
        <v>4671.4031600540566</v>
      </c>
      <c r="R53" s="179">
        <f t="shared" si="1"/>
        <v>11504.083160054057</v>
      </c>
      <c r="S53" s="179">
        <f t="shared" si="2"/>
        <v>4075.9168399459431</v>
      </c>
      <c r="T53" s="180" t="str">
        <f t="shared" si="9"/>
        <v>RENEWAL</v>
      </c>
      <c r="U53" s="179">
        <f t="shared" si="3"/>
        <v>165491.94610534381</v>
      </c>
      <c r="V53" s="181">
        <f>'COMPUTATION SHEET'!AA40</f>
        <v>165400</v>
      </c>
      <c r="W53" s="182">
        <f t="shared" si="4"/>
        <v>0.15810000000000002</v>
      </c>
      <c r="X53" s="183">
        <f>'COMPUTATION SHEET'!AC40</f>
        <v>48</v>
      </c>
      <c r="Y53" s="184">
        <f t="shared" si="5"/>
        <v>9</v>
      </c>
      <c r="Z53" s="185">
        <f>BJ23</f>
        <v>0</v>
      </c>
      <c r="AA53" s="186">
        <f>$BJ24</f>
        <v>42100</v>
      </c>
      <c r="AB53" s="186">
        <f>$BJ25</f>
        <v>42093</v>
      </c>
      <c r="AC53" s="186">
        <f>$BJ26</f>
        <v>42090</v>
      </c>
      <c r="AD53" s="186">
        <f>$BJ27</f>
        <v>42093</v>
      </c>
      <c r="AE53" s="186">
        <f>$BJ28</f>
        <v>42090</v>
      </c>
      <c r="AF53" s="186">
        <f>$BJ29</f>
        <v>42093</v>
      </c>
      <c r="AG53" s="186">
        <f>$BJ30</f>
        <v>42090</v>
      </c>
      <c r="AH53" s="186" t="str">
        <f>$BJ31</f>
        <v>NA</v>
      </c>
      <c r="AI53" s="186">
        <f>$BJ32</f>
        <v>2014</v>
      </c>
      <c r="AJ53" s="188">
        <f>$BJ33</f>
        <v>0</v>
      </c>
      <c r="AK53" s="186"/>
      <c r="AL53" s="189" t="str">
        <f>$BJ7</f>
        <v>YBOA</v>
      </c>
      <c r="AM53" s="190" t="str">
        <f>$BJ8</f>
        <v>JONAS</v>
      </c>
      <c r="AN53" s="190" t="str">
        <f>$BJ9</f>
        <v>ABELIDO</v>
      </c>
      <c r="AO53" s="190" t="str">
        <f>$BJ10</f>
        <v>NANCY ALBOS YBOA</v>
      </c>
      <c r="AP53" s="190" t="str">
        <f>$BJ11</f>
        <v>5TH ST COR BANOYO ST BRGY 10 CATBALOGAN CITY SAMAR</v>
      </c>
      <c r="AQ53" s="191">
        <f>$BJ12</f>
        <v>174344327</v>
      </c>
      <c r="AR53" s="192">
        <f>$BJ13</f>
        <v>25868</v>
      </c>
      <c r="AS53" s="190" t="str">
        <f>$BJ15</f>
        <v>PROVINCE OF SAMAR9</v>
      </c>
      <c r="AT53" s="193" t="s">
        <v>160</v>
      </c>
      <c r="AV53" s="174"/>
      <c r="AX53" s="174"/>
      <c r="AZ53" s="174"/>
      <c r="BB53" s="174"/>
      <c r="BD53" s="174"/>
      <c r="BF53" s="174"/>
      <c r="BH53" s="174"/>
      <c r="BJ53" s="174"/>
      <c r="BL53" s="174"/>
      <c r="BN53" s="174"/>
      <c r="BP53" s="174"/>
      <c r="BR53" s="174"/>
      <c r="BT53" s="174"/>
      <c r="BV53" s="174"/>
      <c r="BX53" s="174"/>
      <c r="BZ53" s="174"/>
      <c r="CB53" s="174"/>
      <c r="CD53" s="174"/>
      <c r="CF53" s="174"/>
    </row>
    <row r="54" spans="3:84" s="151" customFormat="1" hidden="1" outlineLevel="2">
      <c r="D54" s="171"/>
      <c r="E54" s="174"/>
      <c r="F54" s="174"/>
      <c r="G54" s="173">
        <f t="shared" ca="1" si="10"/>
        <v>0</v>
      </c>
      <c r="H54" s="173">
        <f t="shared" ca="1" si="11"/>
        <v>0</v>
      </c>
      <c r="I54" s="174"/>
      <c r="J54" s="175"/>
      <c r="K54" s="174"/>
      <c r="L54" s="176">
        <f t="shared" si="6"/>
        <v>0</v>
      </c>
      <c r="M54" s="174"/>
      <c r="N54" s="174"/>
      <c r="O54" s="177">
        <f t="shared" si="7"/>
        <v>0.1</v>
      </c>
      <c r="P54" s="178">
        <f t="shared" si="8"/>
        <v>0</v>
      </c>
      <c r="Q54" s="178" t="e">
        <f t="shared" si="0"/>
        <v>#NUM!</v>
      </c>
      <c r="R54" s="179" t="e">
        <f t="shared" si="1"/>
        <v>#NUM!</v>
      </c>
      <c r="S54" s="179" t="e">
        <f t="shared" si="2"/>
        <v>#NUM!</v>
      </c>
      <c r="T54" s="180" t="str">
        <f t="shared" si="9"/>
        <v>NEW</v>
      </c>
      <c r="U54" s="179">
        <f t="shared" si="3"/>
        <v>0</v>
      </c>
      <c r="V54" s="181">
        <f>'COMPUTATION SHEET'!AA41</f>
        <v>0</v>
      </c>
      <c r="W54" s="182">
        <f t="shared" si="4"/>
        <v>0.12651000000000001</v>
      </c>
      <c r="X54" s="183">
        <f>'COMPUTATION SHEET'!AC41</f>
        <v>0</v>
      </c>
      <c r="Y54" s="184">
        <f t="shared" si="5"/>
        <v>0</v>
      </c>
      <c r="Z54" s="185"/>
      <c r="AA54" s="186"/>
      <c r="AB54" s="186"/>
      <c r="AC54" s="186"/>
      <c r="AD54" s="186"/>
      <c r="AE54" s="186"/>
      <c r="AF54" s="186"/>
      <c r="AG54" s="186"/>
      <c r="AH54" s="186"/>
      <c r="AI54" s="186"/>
      <c r="AJ54" s="188"/>
      <c r="AK54" s="186"/>
      <c r="AL54" s="189"/>
      <c r="AM54" s="190"/>
      <c r="AN54" s="190"/>
      <c r="AO54" s="190"/>
      <c r="AP54" s="190"/>
      <c r="AQ54" s="191"/>
      <c r="AR54" s="192"/>
      <c r="AS54" s="190"/>
      <c r="AT54" s="193" t="s">
        <v>160</v>
      </c>
      <c r="AV54" s="174"/>
      <c r="AX54" s="174"/>
      <c r="AZ54" s="174"/>
      <c r="BB54" s="174"/>
      <c r="BD54" s="174"/>
      <c r="BF54" s="174"/>
      <c r="BH54" s="174"/>
      <c r="BJ54" s="174"/>
      <c r="BL54" s="174"/>
      <c r="BN54" s="174"/>
      <c r="BP54" s="174"/>
      <c r="BR54" s="174"/>
      <c r="BT54" s="174"/>
      <c r="BV54" s="174"/>
      <c r="BX54" s="174"/>
      <c r="BZ54" s="174"/>
      <c r="CB54" s="174"/>
      <c r="CD54" s="174"/>
      <c r="CF54" s="174"/>
    </row>
    <row r="55" spans="3:84" s="151" customFormat="1" hidden="1" outlineLevel="1" collapsed="1">
      <c r="C55" s="151">
        <v>10</v>
      </c>
      <c r="D55" s="171" t="str">
        <f>BL37</f>
        <v>GONZALES, RUBIA ABARCAR</v>
      </c>
      <c r="E55" s="172">
        <f>BL13</f>
        <v>22656</v>
      </c>
      <c r="F55" s="172">
        <f>BL14</f>
        <v>34319</v>
      </c>
      <c r="G55" s="173">
        <f t="shared" ca="1" si="10"/>
        <v>64</v>
      </c>
      <c r="H55" s="173">
        <f t="shared" ca="1" si="11"/>
        <v>32</v>
      </c>
      <c r="I55" s="174" t="str">
        <f>BL17</f>
        <v>LABORATORY AIDE I</v>
      </c>
      <c r="J55" s="175">
        <f>BL18</f>
        <v>10373</v>
      </c>
      <c r="K55" s="176">
        <f>BL19</f>
        <v>3650</v>
      </c>
      <c r="L55" s="176">
        <f t="shared" si="6"/>
        <v>14023</v>
      </c>
      <c r="M55" s="176">
        <f>BL20</f>
        <v>7735.27</v>
      </c>
      <c r="N55" s="176">
        <f>BL21</f>
        <v>2752.49</v>
      </c>
      <c r="O55" s="177">
        <f t="shared" si="7"/>
        <v>0.3</v>
      </c>
      <c r="P55" s="178">
        <f t="shared" si="8"/>
        <v>4206.8999999999996</v>
      </c>
      <c r="Q55" s="178">
        <f t="shared" si="0"/>
        <v>4205.3925666992072</v>
      </c>
      <c r="R55" s="179">
        <f t="shared" si="1"/>
        <v>9188.1725666992079</v>
      </c>
      <c r="S55" s="179">
        <f t="shared" si="2"/>
        <v>4834.8274333007921</v>
      </c>
      <c r="T55" s="180" t="str">
        <f t="shared" si="9"/>
        <v>RENEWAL</v>
      </c>
      <c r="U55" s="179">
        <f t="shared" si="3"/>
        <v>148953.37357093941</v>
      </c>
      <c r="V55" s="181">
        <f>'COMPUTATION SHEET'!AA42</f>
        <v>148900</v>
      </c>
      <c r="W55" s="182">
        <f t="shared" si="4"/>
        <v>0.15810000000000002</v>
      </c>
      <c r="X55" s="183">
        <f>'COMPUTATION SHEET'!AC42</f>
        <v>48</v>
      </c>
      <c r="Y55" s="184">
        <f t="shared" si="5"/>
        <v>10</v>
      </c>
      <c r="Z55" s="185">
        <f>BL23</f>
        <v>0</v>
      </c>
      <c r="AA55" s="186">
        <f>$BL24</f>
        <v>42100</v>
      </c>
      <c r="AB55" s="186">
        <f>$BL25</f>
        <v>42093</v>
      </c>
      <c r="AC55" s="186">
        <f>$BL26</f>
        <v>42100</v>
      </c>
      <c r="AD55" s="186">
        <f>$BL27</f>
        <v>42095</v>
      </c>
      <c r="AE55" s="186">
        <f>$BL28</f>
        <v>42095</v>
      </c>
      <c r="AF55" s="186">
        <f>$BL29</f>
        <v>42095</v>
      </c>
      <c r="AG55" s="186">
        <f>$BL30</f>
        <v>42094</v>
      </c>
      <c r="AH55" s="186" t="str">
        <f>$BL31</f>
        <v>NA</v>
      </c>
      <c r="AI55" s="186">
        <f>$BL32</f>
        <v>2014</v>
      </c>
      <c r="AJ55" s="188">
        <f>$BL33</f>
        <v>0</v>
      </c>
      <c r="AK55" s="186"/>
      <c r="AL55" s="189" t="str">
        <f>$BL7</f>
        <v>GONZALES</v>
      </c>
      <c r="AM55" s="190" t="str">
        <f>$BL8</f>
        <v>RUBIA</v>
      </c>
      <c r="AN55" s="190" t="str">
        <f>$BL9</f>
        <v>ABARCAR</v>
      </c>
      <c r="AO55" s="190" t="str">
        <f>$BL10</f>
        <v>NELSON VILLANUEVA GONZALES</v>
      </c>
      <c r="AP55" s="190" t="str">
        <f>$BL11</f>
        <v>NO 20 B 2 LOT 8  BLISS CANLAPWAS CATBALOGAN CITY</v>
      </c>
      <c r="AQ55" s="191">
        <f>$BL12</f>
        <v>166545733</v>
      </c>
      <c r="AR55" s="192">
        <f>$BL13</f>
        <v>22656</v>
      </c>
      <c r="AS55" s="190" t="str">
        <f>$BL15</f>
        <v>PROVINCE OF SAMAR10</v>
      </c>
      <c r="AT55" s="193" t="s">
        <v>160</v>
      </c>
      <c r="AV55" s="174"/>
      <c r="AX55" s="174"/>
      <c r="AZ55" s="174"/>
      <c r="BB55" s="174"/>
      <c r="BD55" s="174"/>
      <c r="BF55" s="174"/>
      <c r="BH55" s="174"/>
      <c r="BJ55" s="174"/>
      <c r="BL55" s="174"/>
      <c r="BN55" s="174"/>
      <c r="BP55" s="174"/>
      <c r="BR55" s="174"/>
      <c r="BT55" s="174"/>
      <c r="BV55" s="174"/>
      <c r="BX55" s="174"/>
      <c r="BZ55" s="174"/>
      <c r="CB55" s="174"/>
      <c r="CD55" s="174"/>
      <c r="CF55" s="174"/>
    </row>
    <row r="56" spans="3:84" s="151" customFormat="1" hidden="1" outlineLevel="2">
      <c r="D56" s="171"/>
      <c r="E56" s="174"/>
      <c r="F56" s="174"/>
      <c r="G56" s="173">
        <f t="shared" ca="1" si="10"/>
        <v>0</v>
      </c>
      <c r="H56" s="173">
        <f t="shared" ca="1" si="11"/>
        <v>0</v>
      </c>
      <c r="I56" s="174"/>
      <c r="J56" s="175"/>
      <c r="K56" s="174"/>
      <c r="L56" s="176">
        <f t="shared" si="6"/>
        <v>0</v>
      </c>
      <c r="M56" s="174"/>
      <c r="N56" s="174"/>
      <c r="O56" s="177">
        <f t="shared" si="7"/>
        <v>0.1</v>
      </c>
      <c r="P56" s="178">
        <f t="shared" si="8"/>
        <v>0</v>
      </c>
      <c r="Q56" s="178" t="e">
        <f t="shared" si="0"/>
        <v>#NUM!</v>
      </c>
      <c r="R56" s="179" t="e">
        <f t="shared" si="1"/>
        <v>#NUM!</v>
      </c>
      <c r="S56" s="179" t="e">
        <f t="shared" si="2"/>
        <v>#NUM!</v>
      </c>
      <c r="T56" s="180" t="str">
        <f t="shared" si="9"/>
        <v>NEW</v>
      </c>
      <c r="U56" s="179">
        <f t="shared" si="3"/>
        <v>0</v>
      </c>
      <c r="V56" s="181">
        <f>'COMPUTATION SHEET'!AA43</f>
        <v>0</v>
      </c>
      <c r="W56" s="182">
        <f t="shared" si="4"/>
        <v>0.12651000000000001</v>
      </c>
      <c r="X56" s="183">
        <f>'COMPUTATION SHEET'!AC43</f>
        <v>0</v>
      </c>
      <c r="Y56" s="184">
        <f t="shared" si="5"/>
        <v>0</v>
      </c>
      <c r="Z56" s="185"/>
      <c r="AA56" s="186"/>
      <c r="AB56" s="186"/>
      <c r="AC56" s="186"/>
      <c r="AD56" s="186"/>
      <c r="AE56" s="186"/>
      <c r="AF56" s="186"/>
      <c r="AG56" s="186"/>
      <c r="AH56" s="186"/>
      <c r="AI56" s="186"/>
      <c r="AJ56" s="188"/>
      <c r="AK56" s="186"/>
      <c r="AL56" s="189"/>
      <c r="AM56" s="190"/>
      <c r="AN56" s="190"/>
      <c r="AO56" s="190"/>
      <c r="AP56" s="190"/>
      <c r="AQ56" s="191"/>
      <c r="AR56" s="192"/>
      <c r="AS56" s="190"/>
      <c r="AT56" s="193" t="s">
        <v>160</v>
      </c>
      <c r="AV56" s="174"/>
      <c r="AX56" s="174"/>
      <c r="AZ56" s="174"/>
      <c r="BB56" s="174"/>
      <c r="BD56" s="174"/>
      <c r="BF56" s="174"/>
      <c r="BH56" s="174"/>
      <c r="BJ56" s="174"/>
      <c r="BL56" s="174"/>
      <c r="BN56" s="174"/>
      <c r="BP56" s="174"/>
      <c r="BR56" s="174"/>
      <c r="BT56" s="174"/>
      <c r="BV56" s="174"/>
      <c r="BX56" s="174"/>
      <c r="BZ56" s="174"/>
      <c r="CB56" s="174"/>
      <c r="CD56" s="174"/>
      <c r="CF56" s="174"/>
    </row>
    <row r="57" spans="3:84" s="151" customFormat="1" hidden="1" outlineLevel="1" collapsed="1">
      <c r="C57" s="151">
        <v>11</v>
      </c>
      <c r="D57" s="171" t="str">
        <f>BN37</f>
        <v>ARCALES, DOMINGO JR JADLOC</v>
      </c>
      <c r="E57" s="172">
        <f>BN13</f>
        <v>24098</v>
      </c>
      <c r="F57" s="172">
        <f>BN14</f>
        <v>35506</v>
      </c>
      <c r="G57" s="173">
        <f t="shared" ca="1" si="10"/>
        <v>60</v>
      </c>
      <c r="H57" s="173">
        <f t="shared" ca="1" si="11"/>
        <v>28</v>
      </c>
      <c r="I57" s="174" t="str">
        <f>BN17</f>
        <v>AGRICULTURAL TECHNICIAN II</v>
      </c>
      <c r="J57" s="175">
        <f>BN18</f>
        <v>15768.87</v>
      </c>
      <c r="K57" s="176">
        <f>BN19</f>
        <v>2000</v>
      </c>
      <c r="L57" s="176">
        <f t="shared" si="6"/>
        <v>17768.870000000003</v>
      </c>
      <c r="M57" s="176">
        <f>BN20</f>
        <v>12313.58</v>
      </c>
      <c r="N57" s="176">
        <f>BN21</f>
        <v>4207.5200000000004</v>
      </c>
      <c r="O57" s="177">
        <f t="shared" si="7"/>
        <v>0.3</v>
      </c>
      <c r="P57" s="178">
        <f t="shared" si="8"/>
        <v>5330.661000000001</v>
      </c>
      <c r="Q57" s="178">
        <f t="shared" si="0"/>
        <v>5329.4666040036291</v>
      </c>
      <c r="R57" s="179">
        <f t="shared" si="1"/>
        <v>13435.526604003629</v>
      </c>
      <c r="S57" s="179">
        <f t="shared" si="2"/>
        <v>4333.3433959963731</v>
      </c>
      <c r="T57" s="180" t="str">
        <f t="shared" si="9"/>
        <v>RENEWAL</v>
      </c>
      <c r="U57" s="179">
        <f t="shared" si="3"/>
        <v>188742.28988400905</v>
      </c>
      <c r="V57" s="181">
        <f>'COMPUTATION SHEET'!AA44</f>
        <v>188700</v>
      </c>
      <c r="W57" s="182">
        <f t="shared" si="4"/>
        <v>0.15810000000000002</v>
      </c>
      <c r="X57" s="183">
        <f>'COMPUTATION SHEET'!AC44</f>
        <v>48</v>
      </c>
      <c r="Y57" s="184">
        <f t="shared" si="5"/>
        <v>11</v>
      </c>
      <c r="Z57" s="185">
        <f>BN23</f>
        <v>0</v>
      </c>
      <c r="AA57" s="186">
        <f>$BN24</f>
        <v>42100</v>
      </c>
      <c r="AB57" s="186">
        <f>$BN25</f>
        <v>42100</v>
      </c>
      <c r="AC57" s="186">
        <f>$BN26</f>
        <v>42095</v>
      </c>
      <c r="AD57" s="186">
        <f>$BN27</f>
        <v>42093</v>
      </c>
      <c r="AE57" s="186">
        <f>$BN28</f>
        <v>42093</v>
      </c>
      <c r="AF57" s="186">
        <f>$BN29</f>
        <v>42093</v>
      </c>
      <c r="AG57" s="186">
        <f>$BN30</f>
        <v>42095</v>
      </c>
      <c r="AH57" s="186" t="str">
        <f>$BN31</f>
        <v>NA</v>
      </c>
      <c r="AI57" s="186">
        <f>$BN32</f>
        <v>2014</v>
      </c>
      <c r="AJ57" s="188">
        <f>$BN33</f>
        <v>0</v>
      </c>
      <c r="AK57" s="186"/>
      <c r="AL57" s="189" t="str">
        <f>$BN7</f>
        <v>ARCALES</v>
      </c>
      <c r="AM57" s="190" t="str">
        <f>$BN8</f>
        <v>DOMINGO JR</v>
      </c>
      <c r="AN57" s="190" t="str">
        <f>$BN9</f>
        <v>JADLOC</v>
      </c>
      <c r="AO57" s="190">
        <f>$BN10</f>
        <v>0</v>
      </c>
      <c r="AP57" s="190" t="str">
        <f>$BN11</f>
        <v>491 PUROK 3 BRGY MERCEDES CATBALOGAN CITY</v>
      </c>
      <c r="AQ57" s="191">
        <f>$BN12</f>
        <v>914894035</v>
      </c>
      <c r="AR57" s="192">
        <f>$BN13</f>
        <v>24098</v>
      </c>
      <c r="AS57" s="190" t="str">
        <f>$BN15</f>
        <v>PROVINCE OF SAMAR11</v>
      </c>
      <c r="AT57" s="193" t="s">
        <v>160</v>
      </c>
      <c r="AV57" s="174"/>
      <c r="AX57" s="174"/>
      <c r="AZ57" s="174"/>
      <c r="BB57" s="174"/>
      <c r="BD57" s="174"/>
      <c r="BF57" s="174"/>
      <c r="BH57" s="174"/>
      <c r="BJ57" s="174"/>
      <c r="BL57" s="174"/>
      <c r="BN57" s="174"/>
      <c r="BP57" s="174"/>
      <c r="BR57" s="174"/>
      <c r="BT57" s="174"/>
      <c r="BV57" s="174"/>
      <c r="BX57" s="174"/>
      <c r="BZ57" s="174"/>
      <c r="CB57" s="174"/>
      <c r="CD57" s="174"/>
      <c r="CF57" s="174"/>
    </row>
    <row r="58" spans="3:84" s="151" customFormat="1" hidden="1" outlineLevel="2">
      <c r="D58" s="171"/>
      <c r="E58" s="174"/>
      <c r="F58" s="174"/>
      <c r="G58" s="173">
        <f t="shared" ca="1" si="10"/>
        <v>0</v>
      </c>
      <c r="H58" s="173">
        <f t="shared" ca="1" si="11"/>
        <v>0</v>
      </c>
      <c r="I58" s="174"/>
      <c r="J58" s="175"/>
      <c r="K58" s="174"/>
      <c r="L58" s="176">
        <f t="shared" si="6"/>
        <v>0</v>
      </c>
      <c r="M58" s="174"/>
      <c r="N58" s="174"/>
      <c r="O58" s="177">
        <f t="shared" si="7"/>
        <v>0.1</v>
      </c>
      <c r="P58" s="178">
        <f t="shared" si="8"/>
        <v>0</v>
      </c>
      <c r="Q58" s="178" t="e">
        <f t="shared" si="0"/>
        <v>#NUM!</v>
      </c>
      <c r="R58" s="179" t="e">
        <f t="shared" si="1"/>
        <v>#NUM!</v>
      </c>
      <c r="S58" s="179" t="e">
        <f t="shared" si="2"/>
        <v>#NUM!</v>
      </c>
      <c r="T58" s="180" t="str">
        <f t="shared" si="9"/>
        <v>NEW</v>
      </c>
      <c r="U58" s="179">
        <f t="shared" si="3"/>
        <v>0</v>
      </c>
      <c r="V58" s="181">
        <f>'COMPUTATION SHEET'!AA45</f>
        <v>0</v>
      </c>
      <c r="W58" s="182">
        <f t="shared" si="4"/>
        <v>0.12651000000000001</v>
      </c>
      <c r="X58" s="183">
        <f>'COMPUTATION SHEET'!AC45</f>
        <v>0</v>
      </c>
      <c r="Y58" s="184">
        <f t="shared" si="5"/>
        <v>0</v>
      </c>
      <c r="Z58" s="185"/>
      <c r="AA58" s="186"/>
      <c r="AB58" s="186"/>
      <c r="AC58" s="186"/>
      <c r="AD58" s="186"/>
      <c r="AE58" s="186"/>
      <c r="AF58" s="186"/>
      <c r="AG58" s="186"/>
      <c r="AH58" s="186"/>
      <c r="AI58" s="186"/>
      <c r="AJ58" s="188"/>
      <c r="AK58" s="186"/>
      <c r="AL58" s="189"/>
      <c r="AM58" s="190"/>
      <c r="AN58" s="190"/>
      <c r="AO58" s="190"/>
      <c r="AP58" s="190"/>
      <c r="AQ58" s="191"/>
      <c r="AR58" s="192"/>
      <c r="AS58" s="190"/>
      <c r="AT58" s="193" t="s">
        <v>160</v>
      </c>
      <c r="AV58" s="174"/>
      <c r="AX58" s="174"/>
      <c r="AZ58" s="174"/>
      <c r="BB58" s="174"/>
      <c r="BD58" s="174"/>
      <c r="BF58" s="174"/>
      <c r="BH58" s="174"/>
      <c r="BJ58" s="174"/>
      <c r="BL58" s="174"/>
      <c r="BN58" s="174"/>
      <c r="BP58" s="174"/>
      <c r="BR58" s="174"/>
      <c r="BT58" s="174"/>
      <c r="BV58" s="174"/>
      <c r="BX58" s="174"/>
      <c r="BZ58" s="174"/>
      <c r="CB58" s="174"/>
      <c r="CD58" s="174"/>
      <c r="CF58" s="174"/>
    </row>
    <row r="59" spans="3:84" s="151" customFormat="1" hidden="1" outlineLevel="1" collapsed="1">
      <c r="C59" s="151">
        <v>12</v>
      </c>
      <c r="D59" s="171" t="str">
        <f>BP37</f>
        <v>GACELOS, REBECCA TILLES</v>
      </c>
      <c r="E59" s="172">
        <f>BP13</f>
        <v>19920</v>
      </c>
      <c r="F59" s="172">
        <f>BP14</f>
        <v>29859</v>
      </c>
      <c r="G59" s="173">
        <f t="shared" ca="1" si="10"/>
        <v>71</v>
      </c>
      <c r="H59" s="173">
        <f t="shared" ca="1" si="11"/>
        <v>44</v>
      </c>
      <c r="I59" s="174" t="str">
        <f>BP17</f>
        <v>AGRICULTURAL TECHNOLOGIST I</v>
      </c>
      <c r="J59" s="175">
        <f>BP18</f>
        <v>18135</v>
      </c>
      <c r="K59" s="176">
        <f>BP19</f>
        <v>2000</v>
      </c>
      <c r="L59" s="176">
        <f t="shared" si="6"/>
        <v>20135</v>
      </c>
      <c r="M59" s="176">
        <f>BP20</f>
        <v>14037.39</v>
      </c>
      <c r="N59" s="176">
        <f>BP21</f>
        <v>4652.09</v>
      </c>
      <c r="O59" s="177">
        <f t="shared" si="7"/>
        <v>0.3</v>
      </c>
      <c r="P59" s="178">
        <f t="shared" si="8"/>
        <v>6040.5</v>
      </c>
      <c r="Q59" s="178">
        <f t="shared" si="0"/>
        <v>6747.2685304529259</v>
      </c>
      <c r="R59" s="179">
        <f t="shared" si="1"/>
        <v>16132.568530452925</v>
      </c>
      <c r="S59" s="179">
        <f t="shared" si="2"/>
        <v>4002.4314695470748</v>
      </c>
      <c r="T59" s="180" t="str">
        <f t="shared" si="9"/>
        <v>RENEWAL</v>
      </c>
      <c r="U59" s="179">
        <f t="shared" si="3"/>
        <v>213875.50287747738</v>
      </c>
      <c r="V59" s="181">
        <f>'COMPUTATION SHEET'!AA46</f>
        <v>238900</v>
      </c>
      <c r="W59" s="182">
        <f t="shared" si="4"/>
        <v>0.15810000000000002</v>
      </c>
      <c r="X59" s="183">
        <f>'COMPUTATION SHEET'!AC46</f>
        <v>48</v>
      </c>
      <c r="Y59" s="184">
        <f t="shared" si="5"/>
        <v>12</v>
      </c>
      <c r="Z59" s="185">
        <f>BP23</f>
        <v>0</v>
      </c>
      <c r="AA59" s="186">
        <f>$BP24</f>
        <v>42101</v>
      </c>
      <c r="AB59" s="186">
        <f>$BP25</f>
        <v>42100</v>
      </c>
      <c r="AC59" s="186">
        <f>$BP26</f>
        <v>42100</v>
      </c>
      <c r="AD59" s="186">
        <f>$BP27</f>
        <v>42093</v>
      </c>
      <c r="AE59" s="186">
        <f>$BP28</f>
        <v>42093</v>
      </c>
      <c r="AF59" s="186">
        <f>$BP29</f>
        <v>42100</v>
      </c>
      <c r="AG59" s="186">
        <f>$BP30</f>
        <v>42093</v>
      </c>
      <c r="AH59" s="186" t="str">
        <f>$BP31</f>
        <v>NA</v>
      </c>
      <c r="AI59" s="186">
        <f>$BP32</f>
        <v>2014</v>
      </c>
      <c r="AJ59" s="188">
        <f>$BP33</f>
        <v>0</v>
      </c>
      <c r="AK59" s="186"/>
      <c r="AL59" s="189" t="str">
        <f>$BP7</f>
        <v>GACELOS</v>
      </c>
      <c r="AM59" s="190" t="str">
        <f>$BP8</f>
        <v>REBECCA</v>
      </c>
      <c r="AN59" s="190" t="str">
        <f>$BP9</f>
        <v>TILLES</v>
      </c>
      <c r="AO59" s="190">
        <f>$BP10</f>
        <v>0</v>
      </c>
      <c r="AP59" s="190" t="str">
        <f>$BP11</f>
        <v>117 P 2 BRGY MAULONG CATBALOGAN CITY SAMAR</v>
      </c>
      <c r="AQ59" s="191">
        <f>$BP12</f>
        <v>131439004</v>
      </c>
      <c r="AR59" s="192">
        <f>$BP13</f>
        <v>19920</v>
      </c>
      <c r="AS59" s="190" t="str">
        <f>$BP15</f>
        <v>PROVINCE OF SAMAR12</v>
      </c>
      <c r="AT59" s="193" t="s">
        <v>160</v>
      </c>
      <c r="AV59" s="174"/>
      <c r="AX59" s="174"/>
      <c r="AZ59" s="174"/>
      <c r="BB59" s="174"/>
      <c r="BD59" s="174"/>
      <c r="BF59" s="174"/>
      <c r="BH59" s="174"/>
      <c r="BJ59" s="174"/>
      <c r="BL59" s="174"/>
      <c r="BN59" s="174"/>
      <c r="BP59" s="174"/>
      <c r="BR59" s="174"/>
      <c r="BT59" s="174"/>
      <c r="BV59" s="174"/>
      <c r="BX59" s="174"/>
      <c r="BZ59" s="174"/>
      <c r="CB59" s="174"/>
      <c r="CD59" s="174"/>
      <c r="CF59" s="174"/>
    </row>
    <row r="60" spans="3:84" s="151" customFormat="1" hidden="1" outlineLevel="2">
      <c r="D60" s="171"/>
      <c r="E60" s="174"/>
      <c r="F60" s="174"/>
      <c r="G60" s="173">
        <f t="shared" ca="1" si="10"/>
        <v>0</v>
      </c>
      <c r="H60" s="173">
        <f t="shared" ca="1" si="11"/>
        <v>0</v>
      </c>
      <c r="I60" s="174"/>
      <c r="J60" s="175"/>
      <c r="K60" s="174"/>
      <c r="L60" s="176">
        <f t="shared" si="6"/>
        <v>0</v>
      </c>
      <c r="M60" s="174"/>
      <c r="N60" s="174"/>
      <c r="O60" s="177">
        <f t="shared" si="7"/>
        <v>0.1</v>
      </c>
      <c r="P60" s="178">
        <f t="shared" si="8"/>
        <v>0</v>
      </c>
      <c r="Q60" s="178" t="e">
        <f t="shared" si="0"/>
        <v>#NUM!</v>
      </c>
      <c r="R60" s="179" t="e">
        <f t="shared" si="1"/>
        <v>#NUM!</v>
      </c>
      <c r="S60" s="179" t="e">
        <f t="shared" si="2"/>
        <v>#NUM!</v>
      </c>
      <c r="T60" s="180" t="str">
        <f t="shared" si="9"/>
        <v>NEW</v>
      </c>
      <c r="U60" s="179">
        <f t="shared" si="3"/>
        <v>0</v>
      </c>
      <c r="V60" s="181">
        <f>'COMPUTATION SHEET'!AA47</f>
        <v>0</v>
      </c>
      <c r="W60" s="182">
        <f t="shared" si="4"/>
        <v>0.12651000000000001</v>
      </c>
      <c r="X60" s="183">
        <f>'COMPUTATION SHEET'!AC47</f>
        <v>0</v>
      </c>
      <c r="Y60" s="184">
        <f t="shared" si="5"/>
        <v>0</v>
      </c>
      <c r="Z60" s="185"/>
      <c r="AA60" s="186"/>
      <c r="AB60" s="186"/>
      <c r="AC60" s="186"/>
      <c r="AD60" s="186"/>
      <c r="AE60" s="186"/>
      <c r="AF60" s="186"/>
      <c r="AG60" s="186"/>
      <c r="AH60" s="186"/>
      <c r="AI60" s="186"/>
      <c r="AJ60" s="188"/>
      <c r="AK60" s="186"/>
      <c r="AL60" s="189"/>
      <c r="AM60" s="190"/>
      <c r="AN60" s="190"/>
      <c r="AO60" s="190"/>
      <c r="AP60" s="190"/>
      <c r="AQ60" s="191"/>
      <c r="AR60" s="192"/>
      <c r="AS60" s="190"/>
      <c r="AT60" s="193" t="s">
        <v>160</v>
      </c>
      <c r="AV60" s="174"/>
      <c r="AX60" s="174"/>
      <c r="AZ60" s="174"/>
      <c r="BB60" s="174"/>
      <c r="BD60" s="174"/>
      <c r="BF60" s="174"/>
      <c r="BH60" s="174"/>
      <c r="BJ60" s="174"/>
      <c r="BL60" s="174"/>
      <c r="BN60" s="174"/>
      <c r="BP60" s="174"/>
      <c r="BR60" s="174"/>
      <c r="BT60" s="174"/>
      <c r="BV60" s="174"/>
      <c r="BX60" s="174"/>
      <c r="BZ60" s="174"/>
      <c r="CB60" s="174"/>
      <c r="CD60" s="174"/>
      <c r="CF60" s="174"/>
    </row>
    <row r="61" spans="3:84" s="151" customFormat="1" hidden="1" outlineLevel="1" collapsed="1">
      <c r="C61" s="151">
        <v>13</v>
      </c>
      <c r="D61" s="171" t="str">
        <f>BR37</f>
        <v>TONELETE, NARCISA  CAMUIN</v>
      </c>
      <c r="E61" s="172">
        <f>BR13</f>
        <v>21917</v>
      </c>
      <c r="F61" s="172">
        <f>BR14</f>
        <v>29692</v>
      </c>
      <c r="G61" s="173">
        <f t="shared" ca="1" si="10"/>
        <v>66</v>
      </c>
      <c r="H61" s="173">
        <f t="shared" ca="1" si="11"/>
        <v>44</v>
      </c>
      <c r="I61" s="174" t="str">
        <f>BR17</f>
        <v>BOARD SECRETARY I</v>
      </c>
      <c r="J61" s="175">
        <f>BR18</f>
        <v>23979</v>
      </c>
      <c r="K61" s="176">
        <f>BR19</f>
        <v>2000</v>
      </c>
      <c r="L61" s="176">
        <f t="shared" si="6"/>
        <v>25979</v>
      </c>
      <c r="M61" s="176">
        <f>BR20</f>
        <v>16345.01</v>
      </c>
      <c r="N61" s="176">
        <f>BR21</f>
        <v>6583.07</v>
      </c>
      <c r="O61" s="177">
        <f t="shared" si="7"/>
        <v>0.3</v>
      </c>
      <c r="P61" s="178">
        <f t="shared" si="8"/>
        <v>7793.7</v>
      </c>
      <c r="Q61" s="178">
        <f t="shared" si="0"/>
        <v>9066.0242707215966</v>
      </c>
      <c r="R61" s="179">
        <f t="shared" si="1"/>
        <v>18827.964270721597</v>
      </c>
      <c r="S61" s="179">
        <f t="shared" si="2"/>
        <v>7151.0357292784029</v>
      </c>
      <c r="T61" s="180" t="str">
        <f t="shared" si="9"/>
        <v>RENEWAL</v>
      </c>
      <c r="U61" s="179">
        <f t="shared" si="3"/>
        <v>275950.9157811763</v>
      </c>
      <c r="V61" s="181">
        <f>'COMPUTATION SHEET'!AA48</f>
        <v>321000</v>
      </c>
      <c r="W61" s="182">
        <f t="shared" si="4"/>
        <v>0.15810000000000002</v>
      </c>
      <c r="X61" s="183">
        <f>'COMPUTATION SHEET'!AC48</f>
        <v>48</v>
      </c>
      <c r="Y61" s="184">
        <f t="shared" si="5"/>
        <v>13</v>
      </c>
      <c r="Z61" s="185">
        <f>BR23</f>
        <v>0</v>
      </c>
      <c r="AA61" s="186">
        <f>$BR24</f>
        <v>42100</v>
      </c>
      <c r="AB61" s="186">
        <f>$BR25</f>
        <v>42093</v>
      </c>
      <c r="AC61" s="186">
        <f>$BR26</f>
        <v>42087</v>
      </c>
      <c r="AD61" s="186">
        <f>$BR27</f>
        <v>42087</v>
      </c>
      <c r="AE61" s="186">
        <f>$BR28</f>
        <v>42087</v>
      </c>
      <c r="AF61" s="186">
        <f>$BR29</f>
        <v>42086</v>
      </c>
      <c r="AG61" s="186">
        <f>$BR30</f>
        <v>42087</v>
      </c>
      <c r="AH61" s="186" t="str">
        <f>$BR31</f>
        <v>NA</v>
      </c>
      <c r="AI61" s="186">
        <f>$BR32</f>
        <v>2014</v>
      </c>
      <c r="AJ61" s="188">
        <f>$BR33</f>
        <v>0</v>
      </c>
      <c r="AK61" s="186"/>
      <c r="AL61" s="189" t="str">
        <f>$BR7</f>
        <v>TONELETE</v>
      </c>
      <c r="AM61" s="190" t="str">
        <f>$BR8</f>
        <v xml:space="preserve">NARCISA </v>
      </c>
      <c r="AN61" s="190" t="str">
        <f>$BR9</f>
        <v>CAMUIN</v>
      </c>
      <c r="AO61" s="190" t="str">
        <f>$BR10</f>
        <v>ANTONIO DETALO TONELETE</v>
      </c>
      <c r="AP61" s="190" t="str">
        <f>$BR11</f>
        <v>270 BRGY MAULONG CATBALOGAN CITY SAMAR</v>
      </c>
      <c r="AQ61" s="191">
        <f>$BR12</f>
        <v>133458617</v>
      </c>
      <c r="AR61" s="192">
        <f>$BR13</f>
        <v>21917</v>
      </c>
      <c r="AS61" s="190" t="str">
        <f>$BR15</f>
        <v>PROVINCE OF SAMAR13</v>
      </c>
      <c r="AT61" s="193" t="s">
        <v>160</v>
      </c>
      <c r="AV61" s="174"/>
      <c r="AX61" s="174"/>
      <c r="AZ61" s="174"/>
      <c r="BB61" s="174"/>
      <c r="BD61" s="174"/>
      <c r="BF61" s="174"/>
      <c r="BH61" s="174"/>
      <c r="BJ61" s="174"/>
      <c r="BL61" s="174"/>
      <c r="BN61" s="174"/>
      <c r="BP61" s="174"/>
      <c r="BR61" s="174"/>
      <c r="BT61" s="174"/>
      <c r="BV61" s="174"/>
      <c r="BX61" s="174"/>
      <c r="BZ61" s="174"/>
      <c r="CB61" s="174"/>
      <c r="CD61" s="174"/>
      <c r="CF61" s="174"/>
    </row>
    <row r="62" spans="3:84" s="151" customFormat="1" hidden="1" outlineLevel="2">
      <c r="D62" s="171"/>
      <c r="E62" s="174"/>
      <c r="F62" s="174"/>
      <c r="G62" s="173">
        <f t="shared" ca="1" si="10"/>
        <v>0</v>
      </c>
      <c r="H62" s="173">
        <f t="shared" ca="1" si="11"/>
        <v>0</v>
      </c>
      <c r="I62" s="174"/>
      <c r="J62" s="175"/>
      <c r="K62" s="174"/>
      <c r="L62" s="176">
        <f t="shared" si="6"/>
        <v>0</v>
      </c>
      <c r="M62" s="174"/>
      <c r="N62" s="174"/>
      <c r="O62" s="177">
        <f t="shared" si="7"/>
        <v>0.1</v>
      </c>
      <c r="P62" s="178">
        <f t="shared" si="8"/>
        <v>0</v>
      </c>
      <c r="Q62" s="178" t="e">
        <f t="shared" si="0"/>
        <v>#NUM!</v>
      </c>
      <c r="R62" s="179" t="e">
        <f t="shared" si="1"/>
        <v>#NUM!</v>
      </c>
      <c r="S62" s="179" t="e">
        <f t="shared" si="2"/>
        <v>#NUM!</v>
      </c>
      <c r="T62" s="180" t="str">
        <f t="shared" si="9"/>
        <v>NEW</v>
      </c>
      <c r="U62" s="179">
        <f t="shared" si="3"/>
        <v>0</v>
      </c>
      <c r="V62" s="181">
        <f>'COMPUTATION SHEET'!AA49</f>
        <v>0</v>
      </c>
      <c r="W62" s="182">
        <f t="shared" si="4"/>
        <v>0.12651000000000001</v>
      </c>
      <c r="X62" s="183">
        <f>'COMPUTATION SHEET'!AC49</f>
        <v>0</v>
      </c>
      <c r="Y62" s="184">
        <f t="shared" si="5"/>
        <v>0</v>
      </c>
      <c r="Z62" s="185"/>
      <c r="AA62" s="186"/>
      <c r="AB62" s="186"/>
      <c r="AC62" s="186"/>
      <c r="AD62" s="186"/>
      <c r="AE62" s="186"/>
      <c r="AF62" s="186"/>
      <c r="AG62" s="186"/>
      <c r="AH62" s="186"/>
      <c r="AI62" s="186"/>
      <c r="AJ62" s="188"/>
      <c r="AK62" s="186"/>
      <c r="AL62" s="189"/>
      <c r="AM62" s="190"/>
      <c r="AN62" s="190"/>
      <c r="AO62" s="190"/>
      <c r="AP62" s="190"/>
      <c r="AQ62" s="191"/>
      <c r="AR62" s="192"/>
      <c r="AS62" s="190"/>
      <c r="AT62" s="193" t="s">
        <v>160</v>
      </c>
      <c r="AV62" s="174"/>
      <c r="AX62" s="174"/>
      <c r="AZ62" s="174"/>
      <c r="BB62" s="174"/>
      <c r="BD62" s="174"/>
      <c r="BF62" s="174"/>
      <c r="BH62" s="174"/>
      <c r="BJ62" s="174"/>
      <c r="BL62" s="174"/>
      <c r="BN62" s="174"/>
      <c r="BP62" s="174"/>
      <c r="BR62" s="174"/>
      <c r="BT62" s="174"/>
      <c r="BV62" s="174"/>
      <c r="BX62" s="174"/>
      <c r="BZ62" s="174"/>
      <c r="CB62" s="174"/>
      <c r="CD62" s="174"/>
      <c r="CF62" s="174"/>
    </row>
    <row r="63" spans="3:84" s="151" customFormat="1" hidden="1" outlineLevel="1" collapsed="1">
      <c r="C63" s="151">
        <v>14</v>
      </c>
      <c r="D63" s="171" t="str">
        <f>BT37</f>
        <v>GABON, MA WINONA CON UI</v>
      </c>
      <c r="E63" s="172">
        <f>BT13</f>
        <v>25812</v>
      </c>
      <c r="F63" s="172">
        <f>BT14</f>
        <v>37097</v>
      </c>
      <c r="G63" s="173">
        <f t="shared" ca="1" si="10"/>
        <v>55</v>
      </c>
      <c r="H63" s="173">
        <f t="shared" ca="1" si="11"/>
        <v>24</v>
      </c>
      <c r="I63" s="174" t="str">
        <f>BT17</f>
        <v>COMPUTER MAINTENANCE TECHNICIAN</v>
      </c>
      <c r="J63" s="175">
        <f>BT18</f>
        <v>19495</v>
      </c>
      <c r="K63" s="176">
        <f>BT19</f>
        <v>2000</v>
      </c>
      <c r="L63" s="176">
        <f t="shared" si="6"/>
        <v>21495</v>
      </c>
      <c r="M63" s="176">
        <f>BT20</f>
        <v>8580.2000000000007</v>
      </c>
      <c r="N63" s="176">
        <f>BT21</f>
        <v>5176.43</v>
      </c>
      <c r="O63" s="177">
        <f t="shared" si="7"/>
        <v>0.3</v>
      </c>
      <c r="P63" s="178">
        <f t="shared" si="8"/>
        <v>6448.5</v>
      </c>
      <c r="Q63" s="178">
        <f t="shared" si="0"/>
        <v>7521.1285460846129</v>
      </c>
      <c r="R63" s="179">
        <f t="shared" si="1"/>
        <v>10924.898546084612</v>
      </c>
      <c r="S63" s="179">
        <f t="shared" si="2"/>
        <v>10570.101453915388</v>
      </c>
      <c r="T63" s="180" t="str">
        <f t="shared" si="9"/>
        <v>RENEWAL</v>
      </c>
      <c r="U63" s="179">
        <f t="shared" si="3"/>
        <v>228321.52641427249</v>
      </c>
      <c r="V63" s="181">
        <f>'COMPUTATION SHEET'!AA50</f>
        <v>266300</v>
      </c>
      <c r="W63" s="182">
        <f t="shared" si="4"/>
        <v>0.15810000000000002</v>
      </c>
      <c r="X63" s="183">
        <f>'COMPUTATION SHEET'!AC50</f>
        <v>48</v>
      </c>
      <c r="Y63" s="184">
        <f t="shared" si="5"/>
        <v>14</v>
      </c>
      <c r="Z63" s="185">
        <f>BT23</f>
        <v>0</v>
      </c>
      <c r="AA63" s="186">
        <f>$BT24</f>
        <v>42100</v>
      </c>
      <c r="AB63" s="186">
        <f>$BT25</f>
        <v>42093</v>
      </c>
      <c r="AC63" s="186">
        <f>$BT26</f>
        <v>42086</v>
      </c>
      <c r="AD63" s="186">
        <f>$BT27</f>
        <v>42086</v>
      </c>
      <c r="AE63" s="186">
        <f>$BT28</f>
        <v>42086</v>
      </c>
      <c r="AF63" s="186">
        <f>$BT29</f>
        <v>42088</v>
      </c>
      <c r="AG63" s="186">
        <f>$BT30</f>
        <v>42086</v>
      </c>
      <c r="AH63" s="186" t="str">
        <f>$BT31</f>
        <v>NA</v>
      </c>
      <c r="AI63" s="186">
        <f>$BT32</f>
        <v>2014</v>
      </c>
      <c r="AJ63" s="188">
        <f>$BT33</f>
        <v>0</v>
      </c>
      <c r="AK63" s="186"/>
      <c r="AL63" s="189" t="str">
        <f>$BT7</f>
        <v>GABON</v>
      </c>
      <c r="AM63" s="190" t="str">
        <f>$BT8</f>
        <v>MA WINONA</v>
      </c>
      <c r="AN63" s="190" t="str">
        <f>$BT9</f>
        <v>CON UI</v>
      </c>
      <c r="AO63" s="190" t="str">
        <f>$BT10</f>
        <v>ALEJANDRO CUNA GABON</v>
      </c>
      <c r="AP63" s="190" t="str">
        <f>$BT11</f>
        <v>451 GABON BLVD BRGY 3 PARANAS WRIGHT SAMAR</v>
      </c>
      <c r="AQ63" s="191">
        <f>$BT12</f>
        <v>178650362</v>
      </c>
      <c r="AR63" s="192">
        <f>$BT13</f>
        <v>25812</v>
      </c>
      <c r="AS63" s="190" t="str">
        <f>$BT15</f>
        <v>PROVINCE OF SAMAR14</v>
      </c>
      <c r="AT63" s="193" t="s">
        <v>160</v>
      </c>
      <c r="AV63" s="174"/>
      <c r="AX63" s="174"/>
      <c r="AZ63" s="174"/>
      <c r="BB63" s="174"/>
      <c r="BD63" s="174"/>
      <c r="BF63" s="174"/>
      <c r="BH63" s="174"/>
      <c r="BJ63" s="174"/>
      <c r="BL63" s="174"/>
      <c r="BN63" s="174"/>
      <c r="BP63" s="174"/>
      <c r="BR63" s="174"/>
      <c r="BT63" s="174"/>
      <c r="BV63" s="174"/>
      <c r="BX63" s="174"/>
      <c r="BZ63" s="174"/>
      <c r="CB63" s="174"/>
      <c r="CD63" s="174"/>
      <c r="CF63" s="174"/>
    </row>
    <row r="64" spans="3:84" s="151" customFormat="1" hidden="1" outlineLevel="2">
      <c r="D64" s="171"/>
      <c r="E64" s="174"/>
      <c r="F64" s="174"/>
      <c r="G64" s="173">
        <f t="shared" ca="1" si="10"/>
        <v>0</v>
      </c>
      <c r="H64" s="173">
        <f t="shared" ca="1" si="11"/>
        <v>0</v>
      </c>
      <c r="I64" s="174"/>
      <c r="J64" s="175"/>
      <c r="K64" s="174"/>
      <c r="L64" s="176">
        <f t="shared" si="6"/>
        <v>0</v>
      </c>
      <c r="M64" s="174"/>
      <c r="N64" s="174"/>
      <c r="O64" s="177">
        <f t="shared" si="7"/>
        <v>0.1</v>
      </c>
      <c r="P64" s="178">
        <f t="shared" si="8"/>
        <v>0</v>
      </c>
      <c r="Q64" s="178" t="e">
        <f t="shared" si="0"/>
        <v>#NUM!</v>
      </c>
      <c r="R64" s="179" t="e">
        <f t="shared" si="1"/>
        <v>#NUM!</v>
      </c>
      <c r="S64" s="179" t="e">
        <f t="shared" si="2"/>
        <v>#NUM!</v>
      </c>
      <c r="T64" s="180" t="str">
        <f t="shared" si="9"/>
        <v>NEW</v>
      </c>
      <c r="U64" s="179">
        <f t="shared" si="3"/>
        <v>0</v>
      </c>
      <c r="V64" s="181">
        <f>'COMPUTATION SHEET'!AA51</f>
        <v>0</v>
      </c>
      <c r="W64" s="182">
        <f t="shared" si="4"/>
        <v>0.12651000000000001</v>
      </c>
      <c r="X64" s="183">
        <f>'COMPUTATION SHEET'!AC51</f>
        <v>0</v>
      </c>
      <c r="Y64" s="184">
        <f t="shared" si="5"/>
        <v>0</v>
      </c>
      <c r="Z64" s="185"/>
      <c r="AA64" s="186"/>
      <c r="AB64" s="186"/>
      <c r="AC64" s="186"/>
      <c r="AD64" s="186"/>
      <c r="AE64" s="186"/>
      <c r="AF64" s="186"/>
      <c r="AG64" s="186"/>
      <c r="AH64" s="186"/>
      <c r="AI64" s="186"/>
      <c r="AJ64" s="188"/>
      <c r="AK64" s="186"/>
      <c r="AL64" s="189"/>
      <c r="AM64" s="190"/>
      <c r="AN64" s="190"/>
      <c r="AO64" s="190"/>
      <c r="AP64" s="190"/>
      <c r="AQ64" s="191"/>
      <c r="AR64" s="192"/>
      <c r="AS64" s="190"/>
      <c r="AT64" s="193" t="s">
        <v>160</v>
      </c>
      <c r="AV64" s="174"/>
      <c r="AX64" s="174"/>
      <c r="AZ64" s="174"/>
      <c r="BB64" s="174"/>
      <c r="BD64" s="174"/>
      <c r="BF64" s="174"/>
      <c r="BH64" s="174"/>
      <c r="BJ64" s="174"/>
      <c r="BL64" s="174"/>
      <c r="BN64" s="174"/>
      <c r="BP64" s="174"/>
      <c r="BR64" s="174"/>
      <c r="BT64" s="174"/>
      <c r="BV64" s="174"/>
      <c r="BX64" s="174"/>
      <c r="BZ64" s="174"/>
      <c r="CB64" s="174"/>
      <c r="CD64" s="174"/>
      <c r="CF64" s="174"/>
    </row>
    <row r="65" spans="3:84" s="151" customFormat="1" hidden="1" outlineLevel="1" collapsed="1">
      <c r="C65" s="151">
        <v>15</v>
      </c>
      <c r="D65" s="171" t="str">
        <f>BV37</f>
        <v xml:space="preserve">,  </v>
      </c>
      <c r="E65" s="172">
        <f>BV13</f>
        <v>0</v>
      </c>
      <c r="F65" s="172">
        <f>BV14</f>
        <v>0</v>
      </c>
      <c r="G65" s="173">
        <f t="shared" ca="1" si="10"/>
        <v>0</v>
      </c>
      <c r="H65" s="173">
        <f t="shared" ca="1" si="11"/>
        <v>0</v>
      </c>
      <c r="I65" s="174">
        <f>BV17</f>
        <v>0</v>
      </c>
      <c r="J65" s="175">
        <f>BV18</f>
        <v>0</v>
      </c>
      <c r="K65" s="176">
        <f>BV19</f>
        <v>0</v>
      </c>
      <c r="L65" s="176">
        <f t="shared" si="6"/>
        <v>0</v>
      </c>
      <c r="M65" s="176">
        <f>BV20</f>
        <v>0</v>
      </c>
      <c r="N65" s="176">
        <f>BV21</f>
        <v>0</v>
      </c>
      <c r="O65" s="177">
        <f t="shared" si="7"/>
        <v>0.1</v>
      </c>
      <c r="P65" s="178">
        <f t="shared" si="8"/>
        <v>0</v>
      </c>
      <c r="Q65" s="178" t="e">
        <f t="shared" si="0"/>
        <v>#NUM!</v>
      </c>
      <c r="R65" s="179" t="e">
        <f t="shared" si="1"/>
        <v>#NUM!</v>
      </c>
      <c r="S65" s="179" t="e">
        <f t="shared" si="2"/>
        <v>#NUM!</v>
      </c>
      <c r="T65" s="180" t="str">
        <f t="shared" si="9"/>
        <v>NEW</v>
      </c>
      <c r="U65" s="179">
        <f t="shared" si="3"/>
        <v>0</v>
      </c>
      <c r="V65" s="181">
        <f>'COMPUTATION SHEET'!AA52</f>
        <v>0</v>
      </c>
      <c r="W65" s="182">
        <f t="shared" si="4"/>
        <v>0.12651000000000001</v>
      </c>
      <c r="X65" s="183">
        <f>'COMPUTATION SHEET'!AC52</f>
        <v>0</v>
      </c>
      <c r="Y65" s="184">
        <f t="shared" si="5"/>
        <v>15</v>
      </c>
      <c r="Z65" s="185">
        <f>BV23</f>
        <v>0</v>
      </c>
      <c r="AA65" s="186">
        <f>$BV24</f>
        <v>0</v>
      </c>
      <c r="AB65" s="186">
        <f>$BV25</f>
        <v>0</v>
      </c>
      <c r="AC65" s="186">
        <f>$BV26</f>
        <v>0</v>
      </c>
      <c r="AD65" s="186">
        <f>$BV27</f>
        <v>0</v>
      </c>
      <c r="AE65" s="186">
        <f>$BV28</f>
        <v>0</v>
      </c>
      <c r="AF65" s="186">
        <f>$BV29</f>
        <v>0</v>
      </c>
      <c r="AG65" s="186">
        <f>$BV30</f>
        <v>0</v>
      </c>
      <c r="AH65" s="186">
        <f>$BV31</f>
        <v>0</v>
      </c>
      <c r="AI65" s="186">
        <f>$BV32</f>
        <v>0</v>
      </c>
      <c r="AJ65" s="188">
        <f>$BV33</f>
        <v>0</v>
      </c>
      <c r="AK65" s="186"/>
      <c r="AL65" s="189">
        <f>$BV7</f>
        <v>0</v>
      </c>
      <c r="AM65" s="190">
        <f>$BV8</f>
        <v>0</v>
      </c>
      <c r="AN65" s="190">
        <f>$BV9</f>
        <v>0</v>
      </c>
      <c r="AO65" s="190">
        <f>$BV10</f>
        <v>0</v>
      </c>
      <c r="AP65" s="190">
        <f>$BV11</f>
        <v>0</v>
      </c>
      <c r="AQ65" s="191">
        <f>$BV12</f>
        <v>0</v>
      </c>
      <c r="AR65" s="192">
        <f>$BV13</f>
        <v>0</v>
      </c>
      <c r="AS65" s="190">
        <f>$BV15</f>
        <v>0</v>
      </c>
      <c r="AT65" s="193" t="s">
        <v>160</v>
      </c>
      <c r="AV65" s="174"/>
      <c r="AX65" s="174"/>
      <c r="AZ65" s="174"/>
      <c r="BB65" s="174"/>
      <c r="BD65" s="174"/>
      <c r="BF65" s="174"/>
      <c r="BH65" s="174"/>
      <c r="BJ65" s="174"/>
      <c r="BL65" s="174"/>
      <c r="BN65" s="174"/>
      <c r="BP65" s="174"/>
      <c r="BR65" s="174"/>
      <c r="BT65" s="174"/>
      <c r="BV65" s="174"/>
      <c r="BX65" s="174"/>
      <c r="BZ65" s="174"/>
      <c r="CB65" s="174"/>
      <c r="CD65" s="174"/>
      <c r="CF65" s="174"/>
    </row>
    <row r="66" spans="3:84" s="151" customFormat="1" hidden="1" outlineLevel="2">
      <c r="D66" s="171"/>
      <c r="E66" s="174"/>
      <c r="F66" s="174"/>
      <c r="G66" s="173">
        <f t="shared" ca="1" si="10"/>
        <v>0</v>
      </c>
      <c r="H66" s="173">
        <f t="shared" ca="1" si="11"/>
        <v>0</v>
      </c>
      <c r="I66" s="174"/>
      <c r="J66" s="175"/>
      <c r="K66" s="174"/>
      <c r="L66" s="176">
        <f t="shared" si="6"/>
        <v>0</v>
      </c>
      <c r="M66" s="174"/>
      <c r="N66" s="174"/>
      <c r="O66" s="177">
        <f t="shared" si="7"/>
        <v>0.1</v>
      </c>
      <c r="P66" s="178">
        <f t="shared" si="8"/>
        <v>0</v>
      </c>
      <c r="Q66" s="178" t="e">
        <f t="shared" si="0"/>
        <v>#NUM!</v>
      </c>
      <c r="R66" s="179" t="e">
        <f t="shared" si="1"/>
        <v>#NUM!</v>
      </c>
      <c r="S66" s="179" t="e">
        <f t="shared" si="2"/>
        <v>#NUM!</v>
      </c>
      <c r="T66" s="180" t="str">
        <f t="shared" si="9"/>
        <v>NEW</v>
      </c>
      <c r="U66" s="179">
        <f t="shared" si="3"/>
        <v>0</v>
      </c>
      <c r="V66" s="181">
        <f>'COMPUTATION SHEET'!AA53</f>
        <v>0</v>
      </c>
      <c r="W66" s="182">
        <f t="shared" si="4"/>
        <v>0.12651000000000001</v>
      </c>
      <c r="X66" s="183">
        <f>'COMPUTATION SHEET'!AC53</f>
        <v>0</v>
      </c>
      <c r="Y66" s="184">
        <f t="shared" si="5"/>
        <v>0</v>
      </c>
      <c r="Z66" s="185"/>
      <c r="AA66" s="186"/>
      <c r="AB66" s="186"/>
      <c r="AC66" s="186"/>
      <c r="AD66" s="186"/>
      <c r="AE66" s="186"/>
      <c r="AF66" s="186"/>
      <c r="AG66" s="186"/>
      <c r="AH66" s="186"/>
      <c r="AI66" s="186"/>
      <c r="AJ66" s="188"/>
      <c r="AK66" s="186"/>
      <c r="AL66" s="189"/>
      <c r="AM66" s="190"/>
      <c r="AN66" s="190"/>
      <c r="AO66" s="190"/>
      <c r="AP66" s="190"/>
      <c r="AQ66" s="191"/>
      <c r="AR66" s="192"/>
      <c r="AS66" s="190"/>
      <c r="AT66" s="193" t="s">
        <v>160</v>
      </c>
      <c r="AV66" s="174"/>
      <c r="AX66" s="174"/>
      <c r="AZ66" s="174"/>
      <c r="BB66" s="174"/>
      <c r="BD66" s="174"/>
      <c r="BF66" s="174"/>
      <c r="BH66" s="174"/>
      <c r="BJ66" s="174"/>
      <c r="BL66" s="174"/>
      <c r="BN66" s="174"/>
      <c r="BP66" s="174"/>
      <c r="BR66" s="174"/>
      <c r="BT66" s="174"/>
      <c r="BV66" s="174"/>
      <c r="BX66" s="174"/>
      <c r="BZ66" s="174"/>
      <c r="CB66" s="174"/>
      <c r="CD66" s="174"/>
      <c r="CF66" s="174"/>
    </row>
    <row r="67" spans="3:84" s="151" customFormat="1" hidden="1" outlineLevel="1" collapsed="1">
      <c r="C67" s="151">
        <v>16</v>
      </c>
      <c r="D67" s="171" t="str">
        <f>BX37</f>
        <v xml:space="preserve">,  </v>
      </c>
      <c r="E67" s="172">
        <f>BX13</f>
        <v>0</v>
      </c>
      <c r="F67" s="172">
        <f>BX14</f>
        <v>0</v>
      </c>
      <c r="G67" s="173">
        <f t="shared" ca="1" si="10"/>
        <v>0</v>
      </c>
      <c r="H67" s="173">
        <f t="shared" ca="1" si="11"/>
        <v>0</v>
      </c>
      <c r="I67" s="174">
        <f>BX17</f>
        <v>0</v>
      </c>
      <c r="J67" s="175">
        <f>BX18</f>
        <v>0</v>
      </c>
      <c r="K67" s="176">
        <f>BX19</f>
        <v>0</v>
      </c>
      <c r="L67" s="176">
        <f t="shared" si="6"/>
        <v>0</v>
      </c>
      <c r="M67" s="176">
        <f>BX20</f>
        <v>0</v>
      </c>
      <c r="N67" s="176">
        <f>BX21</f>
        <v>0</v>
      </c>
      <c r="O67" s="177">
        <f t="shared" si="7"/>
        <v>0.1</v>
      </c>
      <c r="P67" s="178">
        <f t="shared" si="8"/>
        <v>0</v>
      </c>
      <c r="Q67" s="178" t="e">
        <f t="shared" si="0"/>
        <v>#NUM!</v>
      </c>
      <c r="R67" s="179" t="e">
        <f t="shared" si="1"/>
        <v>#NUM!</v>
      </c>
      <c r="S67" s="179" t="e">
        <f t="shared" si="2"/>
        <v>#NUM!</v>
      </c>
      <c r="T67" s="180" t="str">
        <f t="shared" si="9"/>
        <v>NEW</v>
      </c>
      <c r="U67" s="179">
        <f t="shared" si="3"/>
        <v>0</v>
      </c>
      <c r="V67" s="181">
        <f>'COMPUTATION SHEET'!AA54</f>
        <v>0</v>
      </c>
      <c r="W67" s="182">
        <f t="shared" si="4"/>
        <v>0.12651000000000001</v>
      </c>
      <c r="X67" s="183">
        <f>'COMPUTATION SHEET'!AC54</f>
        <v>0</v>
      </c>
      <c r="Y67" s="184">
        <f t="shared" si="5"/>
        <v>16</v>
      </c>
      <c r="Z67" s="185">
        <f>BX23</f>
        <v>0</v>
      </c>
      <c r="AA67" s="186">
        <f>$BX24</f>
        <v>0</v>
      </c>
      <c r="AB67" s="186">
        <f>$BX25</f>
        <v>0</v>
      </c>
      <c r="AC67" s="186">
        <f>$BX26</f>
        <v>0</v>
      </c>
      <c r="AD67" s="186">
        <f>$BX27</f>
        <v>0</v>
      </c>
      <c r="AE67" s="186">
        <f>$BX28</f>
        <v>0</v>
      </c>
      <c r="AF67" s="186">
        <f>$BX29</f>
        <v>0</v>
      </c>
      <c r="AG67" s="186">
        <f>$BX30</f>
        <v>0</v>
      </c>
      <c r="AH67" s="186">
        <f>$BX31</f>
        <v>0</v>
      </c>
      <c r="AI67" s="186">
        <f>$BX32</f>
        <v>0</v>
      </c>
      <c r="AJ67" s="188">
        <f>$BX33</f>
        <v>0</v>
      </c>
      <c r="AK67" s="186"/>
      <c r="AL67" s="189">
        <f>$BX7</f>
        <v>0</v>
      </c>
      <c r="AM67" s="190">
        <f>$BX8</f>
        <v>0</v>
      </c>
      <c r="AN67" s="190">
        <f>$BX9</f>
        <v>0</v>
      </c>
      <c r="AO67" s="190">
        <f>$BX10</f>
        <v>0</v>
      </c>
      <c r="AP67" s="190">
        <f>$BX11</f>
        <v>0</v>
      </c>
      <c r="AQ67" s="191">
        <f>$BX12</f>
        <v>0</v>
      </c>
      <c r="AR67" s="192">
        <f>$BX13</f>
        <v>0</v>
      </c>
      <c r="AS67" s="190">
        <f>$BX15</f>
        <v>0</v>
      </c>
      <c r="AT67" s="193" t="s">
        <v>160</v>
      </c>
      <c r="AV67" s="174"/>
      <c r="AX67" s="174"/>
      <c r="AZ67" s="174"/>
      <c r="BB67" s="174"/>
      <c r="BD67" s="174"/>
      <c r="BF67" s="174"/>
      <c r="BH67" s="174"/>
      <c r="BJ67" s="174"/>
      <c r="BL67" s="174"/>
      <c r="BN67" s="174"/>
      <c r="BP67" s="174"/>
      <c r="BR67" s="174"/>
      <c r="BT67" s="174"/>
      <c r="BV67" s="174"/>
      <c r="BX67" s="174"/>
      <c r="BZ67" s="174"/>
      <c r="CB67" s="174"/>
      <c r="CD67" s="174"/>
      <c r="CF67" s="174"/>
    </row>
    <row r="68" spans="3:84" s="151" customFormat="1" hidden="1" outlineLevel="2">
      <c r="D68" s="171"/>
      <c r="E68" s="174"/>
      <c r="F68" s="174"/>
      <c r="G68" s="173">
        <f t="shared" ca="1" si="10"/>
        <v>0</v>
      </c>
      <c r="H68" s="173">
        <f t="shared" ca="1" si="11"/>
        <v>0</v>
      </c>
      <c r="I68" s="174"/>
      <c r="J68" s="175"/>
      <c r="K68" s="174"/>
      <c r="L68" s="176">
        <f t="shared" si="6"/>
        <v>0</v>
      </c>
      <c r="M68" s="174"/>
      <c r="N68" s="174"/>
      <c r="O68" s="177">
        <f t="shared" si="7"/>
        <v>0.1</v>
      </c>
      <c r="P68" s="178">
        <f t="shared" si="8"/>
        <v>0</v>
      </c>
      <c r="Q68" s="178" t="e">
        <f t="shared" si="0"/>
        <v>#NUM!</v>
      </c>
      <c r="R68" s="179" t="e">
        <f t="shared" si="1"/>
        <v>#NUM!</v>
      </c>
      <c r="S68" s="179" t="e">
        <f t="shared" si="2"/>
        <v>#NUM!</v>
      </c>
      <c r="T68" s="180" t="str">
        <f t="shared" si="9"/>
        <v>NEW</v>
      </c>
      <c r="U68" s="179">
        <f t="shared" si="3"/>
        <v>0</v>
      </c>
      <c r="V68" s="181">
        <f>'COMPUTATION SHEET'!AA55</f>
        <v>0</v>
      </c>
      <c r="W68" s="182">
        <f t="shared" si="4"/>
        <v>0.12651000000000001</v>
      </c>
      <c r="X68" s="183">
        <f>'COMPUTATION SHEET'!AC55</f>
        <v>0</v>
      </c>
      <c r="Y68" s="184">
        <f t="shared" si="5"/>
        <v>0</v>
      </c>
      <c r="Z68" s="185"/>
      <c r="AA68" s="186"/>
      <c r="AB68" s="186"/>
      <c r="AC68" s="186"/>
      <c r="AD68" s="186"/>
      <c r="AE68" s="186"/>
      <c r="AF68" s="186"/>
      <c r="AG68" s="186"/>
      <c r="AH68" s="186"/>
      <c r="AI68" s="186"/>
      <c r="AJ68" s="188"/>
      <c r="AK68" s="186"/>
      <c r="AL68" s="189"/>
      <c r="AM68" s="190"/>
      <c r="AN68" s="190"/>
      <c r="AO68" s="190"/>
      <c r="AP68" s="190"/>
      <c r="AQ68" s="191"/>
      <c r="AR68" s="192"/>
      <c r="AS68" s="190"/>
      <c r="AT68" s="193" t="s">
        <v>160</v>
      </c>
      <c r="AV68" s="174"/>
      <c r="AX68" s="174"/>
      <c r="AZ68" s="174"/>
      <c r="BB68" s="174"/>
      <c r="BD68" s="174"/>
      <c r="BF68" s="174"/>
      <c r="BH68" s="174"/>
      <c r="BJ68" s="174"/>
      <c r="BL68" s="174"/>
      <c r="BN68" s="174"/>
      <c r="BP68" s="174"/>
      <c r="BR68" s="174"/>
      <c r="BT68" s="174"/>
      <c r="BV68" s="174"/>
      <c r="BX68" s="174"/>
      <c r="BZ68" s="174"/>
      <c r="CB68" s="174"/>
      <c r="CD68" s="174"/>
      <c r="CF68" s="174"/>
    </row>
    <row r="69" spans="3:84" s="151" customFormat="1" hidden="1" outlineLevel="1" collapsed="1">
      <c r="C69" s="151">
        <v>17</v>
      </c>
      <c r="D69" s="171" t="str">
        <f>BZ37</f>
        <v xml:space="preserve">,  </v>
      </c>
      <c r="E69" s="172">
        <f>BZ13</f>
        <v>0</v>
      </c>
      <c r="F69" s="172">
        <f>BZ14</f>
        <v>0</v>
      </c>
      <c r="G69" s="173">
        <f t="shared" ca="1" si="10"/>
        <v>0</v>
      </c>
      <c r="H69" s="173">
        <f t="shared" ca="1" si="11"/>
        <v>0</v>
      </c>
      <c r="I69" s="174">
        <f>BZ17</f>
        <v>0</v>
      </c>
      <c r="J69" s="175">
        <f>BZ18</f>
        <v>0</v>
      </c>
      <c r="K69" s="176">
        <f>BZ19</f>
        <v>0</v>
      </c>
      <c r="L69" s="176">
        <f t="shared" si="6"/>
        <v>0</v>
      </c>
      <c r="M69" s="176">
        <f>BZ20</f>
        <v>0</v>
      </c>
      <c r="N69" s="176">
        <f>BZ21</f>
        <v>0</v>
      </c>
      <c r="O69" s="177">
        <f t="shared" si="7"/>
        <v>0.1</v>
      </c>
      <c r="P69" s="178">
        <f t="shared" si="8"/>
        <v>0</v>
      </c>
      <c r="Q69" s="178" t="e">
        <f t="shared" si="0"/>
        <v>#NUM!</v>
      </c>
      <c r="R69" s="179" t="e">
        <f t="shared" si="1"/>
        <v>#NUM!</v>
      </c>
      <c r="S69" s="179" t="e">
        <f t="shared" si="2"/>
        <v>#NUM!</v>
      </c>
      <c r="T69" s="180" t="str">
        <f t="shared" si="9"/>
        <v>NEW</v>
      </c>
      <c r="U69" s="179">
        <f t="shared" si="3"/>
        <v>0</v>
      </c>
      <c r="V69" s="181">
        <f>'COMPUTATION SHEET'!AA56</f>
        <v>0</v>
      </c>
      <c r="W69" s="182">
        <f t="shared" si="4"/>
        <v>0.12651000000000001</v>
      </c>
      <c r="X69" s="183">
        <f>'COMPUTATION SHEET'!AC56</f>
        <v>0</v>
      </c>
      <c r="Y69" s="184">
        <f t="shared" si="5"/>
        <v>17</v>
      </c>
      <c r="Z69" s="185">
        <f>BZ23</f>
        <v>0</v>
      </c>
      <c r="AA69" s="186">
        <f>$BZ24</f>
        <v>0</v>
      </c>
      <c r="AB69" s="186">
        <f>$BZ25</f>
        <v>0</v>
      </c>
      <c r="AC69" s="186">
        <f>$BZ26</f>
        <v>0</v>
      </c>
      <c r="AD69" s="186">
        <f>$BZ27</f>
        <v>0</v>
      </c>
      <c r="AE69" s="186">
        <f>$BZ28</f>
        <v>0</v>
      </c>
      <c r="AF69" s="186">
        <f>$BZ29</f>
        <v>0</v>
      </c>
      <c r="AG69" s="186">
        <f>$BZ30</f>
        <v>0</v>
      </c>
      <c r="AH69" s="186">
        <f>$BZ31</f>
        <v>0</v>
      </c>
      <c r="AI69" s="186">
        <f>$BZ32</f>
        <v>0</v>
      </c>
      <c r="AJ69" s="188">
        <f>$BZ33</f>
        <v>0</v>
      </c>
      <c r="AK69" s="186"/>
      <c r="AL69" s="189">
        <f>$BZ7</f>
        <v>0</v>
      </c>
      <c r="AM69" s="190">
        <f>$BZ8</f>
        <v>0</v>
      </c>
      <c r="AN69" s="190">
        <f>$BZ9</f>
        <v>0</v>
      </c>
      <c r="AO69" s="190">
        <f>$BZ10</f>
        <v>0</v>
      </c>
      <c r="AP69" s="190">
        <f>$BZ11</f>
        <v>0</v>
      </c>
      <c r="AQ69" s="191">
        <f>$BZ12</f>
        <v>0</v>
      </c>
      <c r="AR69" s="192">
        <f>$BZ13</f>
        <v>0</v>
      </c>
      <c r="AS69" s="190">
        <f>$BZ15</f>
        <v>0</v>
      </c>
      <c r="AT69" s="193" t="s">
        <v>160</v>
      </c>
      <c r="AV69" s="174"/>
      <c r="AX69" s="174"/>
      <c r="AZ69" s="174"/>
      <c r="BB69" s="174"/>
      <c r="BD69" s="174"/>
      <c r="BF69" s="174"/>
      <c r="BH69" s="174"/>
      <c r="BJ69" s="174"/>
      <c r="BL69" s="174"/>
      <c r="BN69" s="174"/>
      <c r="BP69" s="174"/>
      <c r="BR69" s="174"/>
      <c r="BT69" s="174"/>
      <c r="BV69" s="174"/>
      <c r="BX69" s="174"/>
      <c r="BZ69" s="174"/>
      <c r="CB69" s="174"/>
      <c r="CD69" s="174"/>
      <c r="CF69" s="174"/>
    </row>
    <row r="70" spans="3:84" s="151" customFormat="1" hidden="1" outlineLevel="2">
      <c r="D70" s="171"/>
      <c r="E70" s="174"/>
      <c r="F70" s="174"/>
      <c r="G70" s="173">
        <f t="shared" ca="1" si="10"/>
        <v>0</v>
      </c>
      <c r="H70" s="173">
        <f t="shared" ca="1" si="11"/>
        <v>0</v>
      </c>
      <c r="I70" s="174"/>
      <c r="J70" s="175"/>
      <c r="K70" s="174"/>
      <c r="L70" s="176">
        <f t="shared" si="6"/>
        <v>0</v>
      </c>
      <c r="M70" s="174"/>
      <c r="N70" s="174"/>
      <c r="O70" s="177">
        <f t="shared" si="7"/>
        <v>0.1</v>
      </c>
      <c r="P70" s="178">
        <f t="shared" si="8"/>
        <v>0</v>
      </c>
      <c r="Q70" s="178" t="e">
        <f t="shared" si="0"/>
        <v>#NUM!</v>
      </c>
      <c r="R70" s="179" t="e">
        <f t="shared" si="1"/>
        <v>#NUM!</v>
      </c>
      <c r="S70" s="179" t="e">
        <f t="shared" si="2"/>
        <v>#NUM!</v>
      </c>
      <c r="T70" s="180" t="str">
        <f t="shared" si="9"/>
        <v>NEW</v>
      </c>
      <c r="U70" s="179">
        <f t="shared" si="3"/>
        <v>0</v>
      </c>
      <c r="V70" s="181">
        <f>'COMPUTATION SHEET'!AA57</f>
        <v>0</v>
      </c>
      <c r="W70" s="182">
        <f t="shared" si="4"/>
        <v>0.12651000000000001</v>
      </c>
      <c r="X70" s="183">
        <f>'COMPUTATION SHEET'!AC57</f>
        <v>0</v>
      </c>
      <c r="Y70" s="184">
        <f t="shared" si="5"/>
        <v>0</v>
      </c>
      <c r="Z70" s="185"/>
      <c r="AA70" s="186"/>
      <c r="AB70" s="186"/>
      <c r="AC70" s="186"/>
      <c r="AD70" s="186"/>
      <c r="AE70" s="186"/>
      <c r="AF70" s="186"/>
      <c r="AG70" s="186"/>
      <c r="AH70" s="186"/>
      <c r="AI70" s="186"/>
      <c r="AJ70" s="188"/>
      <c r="AK70" s="186"/>
      <c r="AL70" s="189"/>
      <c r="AM70" s="190"/>
      <c r="AN70" s="190"/>
      <c r="AO70" s="190"/>
      <c r="AP70" s="190"/>
      <c r="AQ70" s="191"/>
      <c r="AR70" s="192"/>
      <c r="AS70" s="190"/>
      <c r="AT70" s="193" t="s">
        <v>160</v>
      </c>
      <c r="AV70" s="174"/>
      <c r="AX70" s="174"/>
      <c r="AZ70" s="174"/>
      <c r="BB70" s="174"/>
      <c r="BD70" s="174"/>
      <c r="BF70" s="174"/>
      <c r="BH70" s="174"/>
      <c r="BJ70" s="174"/>
      <c r="BL70" s="174"/>
      <c r="BN70" s="174"/>
      <c r="BP70" s="174"/>
      <c r="BR70" s="174"/>
      <c r="BT70" s="174"/>
      <c r="BV70" s="174"/>
      <c r="BX70" s="174"/>
      <c r="BZ70" s="174"/>
      <c r="CB70" s="174"/>
      <c r="CD70" s="174"/>
      <c r="CF70" s="174"/>
    </row>
    <row r="71" spans="3:84" s="151" customFormat="1" hidden="1" outlineLevel="1" collapsed="1">
      <c r="C71" s="151">
        <v>18</v>
      </c>
      <c r="D71" s="171" t="str">
        <f>CB37</f>
        <v xml:space="preserve">,  </v>
      </c>
      <c r="E71" s="172">
        <f>CB13</f>
        <v>0</v>
      </c>
      <c r="F71" s="172">
        <f>CB14</f>
        <v>0</v>
      </c>
      <c r="G71" s="173">
        <f t="shared" ca="1" si="10"/>
        <v>0</v>
      </c>
      <c r="H71" s="173">
        <f t="shared" ca="1" si="11"/>
        <v>0</v>
      </c>
      <c r="I71" s="174">
        <f>CB17</f>
        <v>0</v>
      </c>
      <c r="J71" s="175">
        <f>CB18</f>
        <v>0</v>
      </c>
      <c r="K71" s="176">
        <f>CB19</f>
        <v>0</v>
      </c>
      <c r="L71" s="176">
        <f t="shared" si="6"/>
        <v>0</v>
      </c>
      <c r="M71" s="176">
        <f>CB20</f>
        <v>0</v>
      </c>
      <c r="N71" s="176">
        <f>CB21</f>
        <v>0</v>
      </c>
      <c r="O71" s="177">
        <f t="shared" si="7"/>
        <v>0.1</v>
      </c>
      <c r="P71" s="178">
        <f t="shared" si="8"/>
        <v>0</v>
      </c>
      <c r="Q71" s="178" t="e">
        <f t="shared" si="0"/>
        <v>#NUM!</v>
      </c>
      <c r="R71" s="179" t="e">
        <f t="shared" si="1"/>
        <v>#NUM!</v>
      </c>
      <c r="S71" s="179" t="e">
        <f t="shared" si="2"/>
        <v>#NUM!</v>
      </c>
      <c r="T71" s="180" t="str">
        <f t="shared" si="9"/>
        <v>NEW</v>
      </c>
      <c r="U71" s="179">
        <f t="shared" si="3"/>
        <v>0</v>
      </c>
      <c r="V71" s="181">
        <f>'COMPUTATION SHEET'!AA58</f>
        <v>0</v>
      </c>
      <c r="W71" s="182">
        <f t="shared" si="4"/>
        <v>0.12651000000000001</v>
      </c>
      <c r="X71" s="183">
        <f>'COMPUTATION SHEET'!AC58</f>
        <v>0</v>
      </c>
      <c r="Y71" s="184">
        <f t="shared" si="5"/>
        <v>18</v>
      </c>
      <c r="Z71" s="185">
        <f>CB23</f>
        <v>0</v>
      </c>
      <c r="AA71" s="186">
        <f>$CB24</f>
        <v>0</v>
      </c>
      <c r="AB71" s="186">
        <f>$CB25</f>
        <v>0</v>
      </c>
      <c r="AC71" s="186">
        <f>$CB26</f>
        <v>0</v>
      </c>
      <c r="AD71" s="186">
        <f>$CB27</f>
        <v>0</v>
      </c>
      <c r="AE71" s="186">
        <f>$CB28</f>
        <v>0</v>
      </c>
      <c r="AF71" s="186">
        <f>$CB29</f>
        <v>0</v>
      </c>
      <c r="AG71" s="186">
        <f>$CB30</f>
        <v>0</v>
      </c>
      <c r="AH71" s="186">
        <f>$CB31</f>
        <v>0</v>
      </c>
      <c r="AI71" s="186">
        <f>$CB32</f>
        <v>0</v>
      </c>
      <c r="AJ71" s="188">
        <f>$CB33</f>
        <v>0</v>
      </c>
      <c r="AK71" s="186"/>
      <c r="AL71" s="189">
        <f>$CB7</f>
        <v>0</v>
      </c>
      <c r="AM71" s="190">
        <f>$CB8</f>
        <v>0</v>
      </c>
      <c r="AN71" s="190">
        <f>$CB9</f>
        <v>0</v>
      </c>
      <c r="AO71" s="190">
        <f>$CB10</f>
        <v>0</v>
      </c>
      <c r="AP71" s="190">
        <f>$CB11</f>
        <v>0</v>
      </c>
      <c r="AQ71" s="191">
        <f>$CB12</f>
        <v>0</v>
      </c>
      <c r="AR71" s="192">
        <f>$CB13</f>
        <v>0</v>
      </c>
      <c r="AS71" s="190">
        <f>$CB15</f>
        <v>0</v>
      </c>
      <c r="AT71" s="193" t="s">
        <v>160</v>
      </c>
      <c r="AV71" s="174"/>
      <c r="AX71" s="174"/>
      <c r="AZ71" s="174"/>
      <c r="BB71" s="174"/>
      <c r="BD71" s="174"/>
      <c r="BF71" s="174"/>
      <c r="BH71" s="174"/>
      <c r="BJ71" s="174"/>
      <c r="BL71" s="174"/>
      <c r="BN71" s="174"/>
      <c r="BP71" s="174"/>
      <c r="BR71" s="174"/>
      <c r="BT71" s="174"/>
      <c r="BV71" s="174"/>
      <c r="BX71" s="174"/>
      <c r="BZ71" s="174"/>
      <c r="CB71" s="174"/>
      <c r="CD71" s="174"/>
      <c r="CF71" s="174"/>
    </row>
    <row r="72" spans="3:84" s="151" customFormat="1" hidden="1" outlineLevel="2">
      <c r="D72" s="171"/>
      <c r="E72" s="174"/>
      <c r="F72" s="174"/>
      <c r="G72" s="173">
        <f t="shared" ca="1" si="10"/>
        <v>0</v>
      </c>
      <c r="H72" s="173">
        <f t="shared" ca="1" si="11"/>
        <v>0</v>
      </c>
      <c r="I72" s="174"/>
      <c r="J72" s="175"/>
      <c r="K72" s="174"/>
      <c r="L72" s="176">
        <f t="shared" si="6"/>
        <v>0</v>
      </c>
      <c r="M72" s="174"/>
      <c r="N72" s="174"/>
      <c r="O72" s="177">
        <f t="shared" si="7"/>
        <v>0.1</v>
      </c>
      <c r="P72" s="178">
        <f t="shared" si="8"/>
        <v>0</v>
      </c>
      <c r="Q72" s="178" t="e">
        <f t="shared" si="0"/>
        <v>#NUM!</v>
      </c>
      <c r="R72" s="179" t="e">
        <f t="shared" si="1"/>
        <v>#NUM!</v>
      </c>
      <c r="S72" s="179" t="e">
        <f t="shared" si="2"/>
        <v>#NUM!</v>
      </c>
      <c r="T72" s="180" t="str">
        <f t="shared" si="9"/>
        <v>NEW</v>
      </c>
      <c r="U72" s="179">
        <f t="shared" si="3"/>
        <v>0</v>
      </c>
      <c r="V72" s="181">
        <f>'COMPUTATION SHEET'!AA59</f>
        <v>0</v>
      </c>
      <c r="W72" s="182">
        <f t="shared" si="4"/>
        <v>0.12651000000000001</v>
      </c>
      <c r="X72" s="183">
        <f>'COMPUTATION SHEET'!AC59</f>
        <v>0</v>
      </c>
      <c r="Y72" s="184">
        <f t="shared" si="5"/>
        <v>0</v>
      </c>
      <c r="Z72" s="185"/>
      <c r="AA72" s="186"/>
      <c r="AB72" s="186"/>
      <c r="AC72" s="186"/>
      <c r="AD72" s="186"/>
      <c r="AE72" s="186"/>
      <c r="AF72" s="186"/>
      <c r="AG72" s="186"/>
      <c r="AH72" s="186"/>
      <c r="AI72" s="186"/>
      <c r="AJ72" s="188"/>
      <c r="AK72" s="186"/>
      <c r="AL72" s="189"/>
      <c r="AM72" s="190"/>
      <c r="AN72" s="190"/>
      <c r="AO72" s="190"/>
      <c r="AP72" s="190"/>
      <c r="AQ72" s="191"/>
      <c r="AR72" s="192"/>
      <c r="AS72" s="190"/>
      <c r="AT72" s="193" t="s">
        <v>160</v>
      </c>
      <c r="AV72" s="174"/>
      <c r="AX72" s="174"/>
      <c r="AZ72" s="174"/>
      <c r="BB72" s="174"/>
      <c r="BD72" s="174"/>
      <c r="BF72" s="174"/>
      <c r="BH72" s="174"/>
      <c r="BJ72" s="174"/>
      <c r="BL72" s="174"/>
      <c r="BN72" s="174"/>
      <c r="BP72" s="174"/>
      <c r="BR72" s="174"/>
      <c r="BT72" s="174"/>
      <c r="BV72" s="174"/>
      <c r="BX72" s="174"/>
      <c r="BZ72" s="174"/>
      <c r="CB72" s="174"/>
      <c r="CD72" s="174"/>
      <c r="CF72" s="174"/>
    </row>
    <row r="73" spans="3:84" s="151" customFormat="1" hidden="1" outlineLevel="1" collapsed="1">
      <c r="C73" s="151">
        <v>19</v>
      </c>
      <c r="D73" s="171" t="str">
        <f>CD37</f>
        <v xml:space="preserve">,  </v>
      </c>
      <c r="E73" s="172">
        <f>CD13</f>
        <v>0</v>
      </c>
      <c r="F73" s="172">
        <f>CD14</f>
        <v>0</v>
      </c>
      <c r="G73" s="173">
        <f t="shared" ca="1" si="10"/>
        <v>0</v>
      </c>
      <c r="H73" s="173">
        <f t="shared" ca="1" si="11"/>
        <v>0</v>
      </c>
      <c r="I73" s="174">
        <f>CD17</f>
        <v>0</v>
      </c>
      <c r="J73" s="175">
        <f>CD18</f>
        <v>0</v>
      </c>
      <c r="K73" s="176">
        <f>CD19</f>
        <v>0</v>
      </c>
      <c r="L73" s="176">
        <f t="shared" si="6"/>
        <v>0</v>
      </c>
      <c r="M73" s="176">
        <f>CD20</f>
        <v>0</v>
      </c>
      <c r="N73" s="176">
        <f>CD21</f>
        <v>0</v>
      </c>
      <c r="O73" s="177">
        <f t="shared" si="7"/>
        <v>0.1</v>
      </c>
      <c r="P73" s="178">
        <f t="shared" si="8"/>
        <v>0</v>
      </c>
      <c r="Q73" s="178" t="e">
        <f t="shared" si="0"/>
        <v>#NUM!</v>
      </c>
      <c r="R73" s="179" t="e">
        <f t="shared" si="1"/>
        <v>#NUM!</v>
      </c>
      <c r="S73" s="179" t="e">
        <f t="shared" si="2"/>
        <v>#NUM!</v>
      </c>
      <c r="T73" s="180" t="str">
        <f t="shared" si="9"/>
        <v>NEW</v>
      </c>
      <c r="U73" s="179">
        <f t="shared" si="3"/>
        <v>0</v>
      </c>
      <c r="V73" s="181">
        <f>'COMPUTATION SHEET'!AA60</f>
        <v>0</v>
      </c>
      <c r="W73" s="182">
        <f t="shared" si="4"/>
        <v>0.12651000000000001</v>
      </c>
      <c r="X73" s="183">
        <f>'COMPUTATION SHEET'!AC60</f>
        <v>0</v>
      </c>
      <c r="Y73" s="184">
        <f t="shared" si="5"/>
        <v>19</v>
      </c>
      <c r="Z73" s="185">
        <f>CD23</f>
        <v>0</v>
      </c>
      <c r="AA73" s="186">
        <f>$CD24</f>
        <v>0</v>
      </c>
      <c r="AB73" s="186">
        <f>$CD25</f>
        <v>0</v>
      </c>
      <c r="AC73" s="186">
        <f>$CD26</f>
        <v>0</v>
      </c>
      <c r="AD73" s="186">
        <f>$CD27</f>
        <v>0</v>
      </c>
      <c r="AE73" s="186">
        <f>$CD28</f>
        <v>0</v>
      </c>
      <c r="AF73" s="186">
        <f>$CD29</f>
        <v>0</v>
      </c>
      <c r="AG73" s="186">
        <f>$CD30</f>
        <v>0</v>
      </c>
      <c r="AH73" s="186">
        <f>$CD31</f>
        <v>0</v>
      </c>
      <c r="AI73" s="186">
        <f>$CD32</f>
        <v>0</v>
      </c>
      <c r="AJ73" s="188">
        <f>$CD33</f>
        <v>0</v>
      </c>
      <c r="AK73" s="186"/>
      <c r="AL73" s="189">
        <f>$CD7</f>
        <v>0</v>
      </c>
      <c r="AM73" s="190">
        <f>$CD8</f>
        <v>0</v>
      </c>
      <c r="AN73" s="190">
        <f>$CD9</f>
        <v>0</v>
      </c>
      <c r="AO73" s="190">
        <f>$CD10</f>
        <v>0</v>
      </c>
      <c r="AP73" s="190">
        <f>$CD11</f>
        <v>0</v>
      </c>
      <c r="AQ73" s="191">
        <f>$CD12</f>
        <v>0</v>
      </c>
      <c r="AR73" s="192">
        <f>$CD13</f>
        <v>0</v>
      </c>
      <c r="AS73" s="190">
        <f>$CD15</f>
        <v>0</v>
      </c>
      <c r="AT73" s="193" t="s">
        <v>160</v>
      </c>
      <c r="AV73" s="174"/>
      <c r="AX73" s="174"/>
      <c r="AZ73" s="174"/>
      <c r="BB73" s="174"/>
      <c r="BD73" s="174"/>
      <c r="BF73" s="174"/>
      <c r="BH73" s="174"/>
      <c r="BJ73" s="174"/>
      <c r="BL73" s="174"/>
      <c r="BN73" s="174"/>
      <c r="BP73" s="174"/>
      <c r="BR73" s="174"/>
      <c r="BT73" s="174"/>
      <c r="BV73" s="174"/>
      <c r="BX73" s="174"/>
      <c r="BZ73" s="174"/>
      <c r="CB73" s="174"/>
      <c r="CD73" s="174"/>
      <c r="CF73" s="174"/>
    </row>
    <row r="74" spans="3:84" s="151" customFormat="1" hidden="1" outlineLevel="2">
      <c r="D74" s="171"/>
      <c r="E74" s="174"/>
      <c r="F74" s="174"/>
      <c r="G74" s="173">
        <f t="shared" ca="1" si="10"/>
        <v>0</v>
      </c>
      <c r="H74" s="173">
        <f t="shared" ca="1" si="11"/>
        <v>0</v>
      </c>
      <c r="I74" s="174"/>
      <c r="J74" s="175"/>
      <c r="K74" s="174"/>
      <c r="L74" s="176">
        <f t="shared" si="6"/>
        <v>0</v>
      </c>
      <c r="M74" s="174"/>
      <c r="N74" s="174"/>
      <c r="O74" s="177">
        <f t="shared" si="7"/>
        <v>0.1</v>
      </c>
      <c r="P74" s="178">
        <f t="shared" si="8"/>
        <v>0</v>
      </c>
      <c r="Q74" s="178" t="e">
        <f t="shared" si="0"/>
        <v>#NUM!</v>
      </c>
      <c r="R74" s="179" t="e">
        <f t="shared" si="1"/>
        <v>#NUM!</v>
      </c>
      <c r="S74" s="179" t="e">
        <f t="shared" si="2"/>
        <v>#NUM!</v>
      </c>
      <c r="T74" s="180" t="str">
        <f t="shared" si="9"/>
        <v>NEW</v>
      </c>
      <c r="U74" s="179">
        <f t="shared" si="3"/>
        <v>0</v>
      </c>
      <c r="V74" s="181">
        <f>'COMPUTATION SHEET'!AA61</f>
        <v>0</v>
      </c>
      <c r="W74" s="182">
        <f t="shared" si="4"/>
        <v>0.12651000000000001</v>
      </c>
      <c r="X74" s="183">
        <f>'COMPUTATION SHEET'!AC61</f>
        <v>0</v>
      </c>
      <c r="Y74" s="184">
        <f t="shared" si="5"/>
        <v>0</v>
      </c>
      <c r="Z74" s="185"/>
      <c r="AA74" s="186"/>
      <c r="AB74" s="186"/>
      <c r="AC74" s="186"/>
      <c r="AD74" s="186"/>
      <c r="AE74" s="186"/>
      <c r="AF74" s="186"/>
      <c r="AG74" s="186"/>
      <c r="AH74" s="186"/>
      <c r="AI74" s="186"/>
      <c r="AJ74" s="188"/>
      <c r="AK74" s="186"/>
      <c r="AL74" s="189"/>
      <c r="AM74" s="190"/>
      <c r="AN74" s="190"/>
      <c r="AO74" s="190"/>
      <c r="AP74" s="190"/>
      <c r="AQ74" s="191"/>
      <c r="AR74" s="192"/>
      <c r="AS74" s="190"/>
      <c r="AT74" s="193" t="s">
        <v>160</v>
      </c>
      <c r="AV74" s="174"/>
      <c r="AX74" s="174"/>
      <c r="AZ74" s="174"/>
      <c r="BB74" s="174"/>
      <c r="BD74" s="174"/>
      <c r="BF74" s="174"/>
      <c r="BH74" s="174"/>
      <c r="BJ74" s="174"/>
      <c r="BL74" s="174"/>
      <c r="BN74" s="174"/>
      <c r="BP74" s="174"/>
      <c r="BR74" s="174"/>
      <c r="BT74" s="174"/>
      <c r="BV74" s="174"/>
      <c r="BX74" s="174"/>
      <c r="BZ74" s="174"/>
      <c r="CB74" s="174"/>
      <c r="CD74" s="174"/>
      <c r="CF74" s="174"/>
    </row>
    <row r="75" spans="3:84" s="151" customFormat="1" ht="15" hidden="1" outlineLevel="1" collapsed="1" thickBot="1">
      <c r="C75" s="151">
        <v>20</v>
      </c>
      <c r="D75" s="207" t="str">
        <f>CF37</f>
        <v xml:space="preserve">,  </v>
      </c>
      <c r="E75" s="208">
        <f>CF13</f>
        <v>0</v>
      </c>
      <c r="F75" s="208">
        <f>CF14</f>
        <v>0</v>
      </c>
      <c r="G75" s="209">
        <f t="shared" ca="1" si="10"/>
        <v>0</v>
      </c>
      <c r="H75" s="209">
        <f t="shared" ca="1" si="11"/>
        <v>0</v>
      </c>
      <c r="I75" s="210">
        <f>CF17</f>
        <v>0</v>
      </c>
      <c r="J75" s="211">
        <f>CF18</f>
        <v>0</v>
      </c>
      <c r="K75" s="212">
        <f>CF19</f>
        <v>0</v>
      </c>
      <c r="L75" s="212">
        <f t="shared" si="6"/>
        <v>0</v>
      </c>
      <c r="M75" s="212">
        <f>CF20</f>
        <v>0</v>
      </c>
      <c r="N75" s="212">
        <f>CF21</f>
        <v>0</v>
      </c>
      <c r="O75" s="213">
        <f t="shared" si="7"/>
        <v>0.1</v>
      </c>
      <c r="P75" s="214">
        <f t="shared" si="8"/>
        <v>0</v>
      </c>
      <c r="Q75" s="214" t="e">
        <f t="shared" si="0"/>
        <v>#NUM!</v>
      </c>
      <c r="R75" s="215" t="e">
        <f t="shared" si="1"/>
        <v>#NUM!</v>
      </c>
      <c r="S75" s="215" t="e">
        <f t="shared" si="2"/>
        <v>#NUM!</v>
      </c>
      <c r="T75" s="216" t="str">
        <f t="shared" si="9"/>
        <v>NEW</v>
      </c>
      <c r="U75" s="215">
        <f t="shared" si="3"/>
        <v>0</v>
      </c>
      <c r="V75" s="217">
        <f>'COMPUTATION SHEET'!AA62</f>
        <v>0</v>
      </c>
      <c r="W75" s="218">
        <f t="shared" si="4"/>
        <v>0.12651000000000001</v>
      </c>
      <c r="X75" s="219">
        <f>'COMPUTATION SHEET'!AC62</f>
        <v>0</v>
      </c>
      <c r="Y75" s="184">
        <f t="shared" si="5"/>
        <v>20</v>
      </c>
      <c r="Z75" s="220" t="str">
        <f>CF23</f>
        <v>15-0070</v>
      </c>
      <c r="AA75" s="221">
        <f>$CF24</f>
        <v>0</v>
      </c>
      <c r="AB75" s="221">
        <f>$CF25</f>
        <v>0</v>
      </c>
      <c r="AC75" s="221">
        <f>$CF26</f>
        <v>0</v>
      </c>
      <c r="AD75" s="221">
        <f>$CF27</f>
        <v>0</v>
      </c>
      <c r="AE75" s="221">
        <f>$CF28</f>
        <v>0</v>
      </c>
      <c r="AF75" s="221">
        <f>$CF29</f>
        <v>0</v>
      </c>
      <c r="AG75" s="221">
        <f>$CF30</f>
        <v>0</v>
      </c>
      <c r="AH75" s="221">
        <f>$CF31</f>
        <v>0</v>
      </c>
      <c r="AI75" s="221">
        <f>$CF32</f>
        <v>0</v>
      </c>
      <c r="AJ75" s="222" t="str">
        <f>$CF33</f>
        <v>-</v>
      </c>
      <c r="AK75" s="186"/>
      <c r="AL75" s="223">
        <f>$CF7</f>
        <v>0</v>
      </c>
      <c r="AM75" s="224">
        <f>$CF8</f>
        <v>0</v>
      </c>
      <c r="AN75" s="224">
        <f>$CF9</f>
        <v>0</v>
      </c>
      <c r="AO75" s="224">
        <f>$CF10</f>
        <v>0</v>
      </c>
      <c r="AP75" s="224">
        <f>$CF11</f>
        <v>0</v>
      </c>
      <c r="AQ75" s="225">
        <f>$CF12</f>
        <v>0</v>
      </c>
      <c r="AR75" s="226">
        <f>$CF13</f>
        <v>0</v>
      </c>
      <c r="AS75" s="224">
        <f>$CF15</f>
        <v>0</v>
      </c>
      <c r="AT75" s="227" t="s">
        <v>160</v>
      </c>
      <c r="AV75" s="174"/>
      <c r="AX75" s="174"/>
      <c r="AZ75" s="174"/>
      <c r="BB75" s="174"/>
      <c r="BD75" s="174"/>
      <c r="BF75" s="174"/>
      <c r="BH75" s="174"/>
      <c r="BJ75" s="174"/>
      <c r="BL75" s="174"/>
      <c r="BN75" s="174"/>
      <c r="BP75" s="174"/>
      <c r="BR75" s="174"/>
      <c r="BT75" s="174"/>
      <c r="BV75" s="174"/>
      <c r="BX75" s="174"/>
      <c r="BZ75" s="174"/>
      <c r="CB75" s="174"/>
      <c r="CD75" s="174"/>
      <c r="CF75" s="174"/>
    </row>
    <row r="76" spans="3:84" s="151" customFormat="1" hidden="1" outlineLevel="1">
      <c r="D76" s="174"/>
      <c r="E76" s="174"/>
      <c r="F76" s="174"/>
      <c r="G76" s="173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3">
        <v>19</v>
      </c>
      <c r="AA76" s="173">
        <v>20</v>
      </c>
      <c r="AB76" s="173">
        <v>21</v>
      </c>
      <c r="AC76" s="173">
        <v>22</v>
      </c>
      <c r="AD76" s="173">
        <v>23</v>
      </c>
      <c r="AE76" s="173">
        <v>24</v>
      </c>
      <c r="AF76" s="173">
        <v>25</v>
      </c>
      <c r="AG76" s="173">
        <v>26</v>
      </c>
      <c r="AH76" s="173">
        <v>27</v>
      </c>
      <c r="AI76" s="173">
        <v>28</v>
      </c>
      <c r="AJ76" s="173">
        <v>29</v>
      </c>
      <c r="AK76" s="173"/>
      <c r="AL76" s="173"/>
      <c r="AM76" s="173"/>
      <c r="AN76" s="173"/>
      <c r="AO76" s="173"/>
      <c r="AP76" s="173"/>
      <c r="AQ76" s="173"/>
      <c r="AR76" s="173"/>
      <c r="AS76" s="173"/>
      <c r="AT76" s="173"/>
      <c r="AV76" s="174"/>
      <c r="AX76" s="174"/>
      <c r="AZ76" s="174"/>
      <c r="BB76" s="174"/>
      <c r="BD76" s="174"/>
      <c r="BF76" s="174"/>
      <c r="BH76" s="174"/>
      <c r="BJ76" s="174"/>
      <c r="BL76" s="174"/>
      <c r="BN76" s="174"/>
      <c r="BP76" s="174"/>
      <c r="BR76" s="174"/>
      <c r="BT76" s="174"/>
      <c r="BV76" s="174"/>
      <c r="BX76" s="174"/>
      <c r="BZ76" s="174"/>
      <c r="CB76" s="174"/>
      <c r="CD76" s="174"/>
      <c r="CF76" s="174"/>
    </row>
    <row r="77" spans="3:84" s="151" customFormat="1" collapsed="1">
      <c r="D77" s="174"/>
      <c r="E77" s="174"/>
      <c r="F77" s="174"/>
      <c r="G77" s="173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  <c r="AG77" s="174"/>
      <c r="AH77" s="174"/>
      <c r="AI77" s="174"/>
      <c r="AJ77" s="174"/>
      <c r="AK77" s="174"/>
      <c r="AL77" s="174"/>
      <c r="AM77" s="174"/>
      <c r="AN77" s="174"/>
      <c r="AO77" s="174"/>
      <c r="AP77" s="174"/>
      <c r="AQ77" s="174"/>
      <c r="AR77" s="174"/>
      <c r="AS77" s="174"/>
      <c r="AT77" s="174"/>
      <c r="AV77" s="174"/>
      <c r="AX77" s="174"/>
      <c r="AZ77" s="174"/>
      <c r="BB77" s="174"/>
      <c r="BD77" s="174"/>
      <c r="BF77" s="174"/>
      <c r="BH77" s="174"/>
      <c r="BJ77" s="174"/>
      <c r="BL77" s="174"/>
      <c r="BN77" s="174"/>
      <c r="BP77" s="174"/>
      <c r="BR77" s="174"/>
      <c r="BT77" s="174"/>
      <c r="BV77" s="174"/>
      <c r="BX77" s="174"/>
      <c r="BZ77" s="174"/>
      <c r="CB77" s="174"/>
      <c r="CD77" s="174"/>
      <c r="CF77" s="174"/>
    </row>
    <row r="78" spans="3:84" s="151" customFormat="1">
      <c r="D78" s="174"/>
      <c r="E78" s="174"/>
      <c r="F78" s="174"/>
      <c r="G78" s="173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174"/>
      <c r="AF78" s="174"/>
      <c r="AG78" s="174"/>
      <c r="AH78" s="174"/>
      <c r="AI78" s="174"/>
      <c r="AJ78" s="174"/>
      <c r="AK78" s="174"/>
      <c r="AL78" s="174"/>
      <c r="AM78" s="174"/>
      <c r="AN78" s="174"/>
      <c r="AO78" s="174"/>
      <c r="AP78" s="174"/>
      <c r="AQ78" s="174"/>
      <c r="AR78" s="174"/>
      <c r="AS78" s="174"/>
      <c r="AT78" s="174"/>
      <c r="AV78" s="174"/>
      <c r="AX78" s="174"/>
      <c r="AZ78" s="174"/>
      <c r="BB78" s="174"/>
      <c r="BD78" s="174"/>
      <c r="BF78" s="174"/>
      <c r="BH78" s="174"/>
      <c r="BJ78" s="174"/>
      <c r="BL78" s="174"/>
      <c r="BN78" s="174"/>
      <c r="BP78" s="174"/>
      <c r="BR78" s="174"/>
      <c r="BT78" s="174"/>
      <c r="BV78" s="174"/>
      <c r="BX78" s="174"/>
      <c r="BZ78" s="174"/>
      <c r="CB78" s="174"/>
      <c r="CD78" s="174"/>
      <c r="CF78" s="174"/>
    </row>
    <row r="79" spans="3:84" s="151" customFormat="1">
      <c r="D79" s="174"/>
      <c r="E79" s="174"/>
      <c r="F79" s="174"/>
      <c r="G79" s="173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V79" s="174"/>
      <c r="AX79" s="174"/>
      <c r="AZ79" s="174"/>
      <c r="BB79" s="174"/>
      <c r="BD79" s="174"/>
      <c r="BF79" s="174"/>
      <c r="BH79" s="174"/>
      <c r="BJ79" s="174"/>
      <c r="BL79" s="174"/>
      <c r="BN79" s="174"/>
      <c r="BP79" s="174"/>
      <c r="BR79" s="174"/>
      <c r="BT79" s="174"/>
      <c r="BV79" s="174"/>
      <c r="BX79" s="174"/>
      <c r="BZ79" s="174"/>
      <c r="CB79" s="174"/>
      <c r="CD79" s="174"/>
      <c r="CF79" s="174"/>
    </row>
    <row r="80" spans="3:84">
      <c r="C80" s="138"/>
      <c r="D80" s="228"/>
      <c r="E80" s="228"/>
      <c r="F80" s="228"/>
      <c r="G80" s="159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V80" s="228"/>
      <c r="AX80" s="228"/>
      <c r="AZ80" s="228"/>
      <c r="BB80" s="228"/>
      <c r="BD80" s="228"/>
      <c r="BF80" s="228"/>
      <c r="BH80" s="228"/>
      <c r="BJ80" s="228"/>
      <c r="BL80" s="228"/>
      <c r="BN80" s="228"/>
      <c r="BP80" s="228"/>
      <c r="BR80" s="228"/>
      <c r="BT80" s="228"/>
      <c r="BV80" s="228"/>
      <c r="BX80" s="228"/>
      <c r="BZ80" s="228"/>
      <c r="CB80" s="228"/>
      <c r="CD80" s="228"/>
      <c r="CF80" s="228"/>
    </row>
    <row r="81" spans="4:84">
      <c r="D81" s="228"/>
      <c r="E81" s="228"/>
      <c r="F81" s="228"/>
      <c r="G81" s="159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V81" s="228"/>
      <c r="AX81" s="228"/>
      <c r="AZ81" s="228"/>
      <c r="BB81" s="228"/>
      <c r="BD81" s="228"/>
      <c r="BF81" s="228"/>
      <c r="BH81" s="228"/>
      <c r="BJ81" s="228"/>
      <c r="BL81" s="228"/>
      <c r="BN81" s="228"/>
      <c r="BP81" s="228"/>
      <c r="BR81" s="228"/>
      <c r="BT81" s="228"/>
      <c r="BV81" s="228"/>
      <c r="BX81" s="228"/>
      <c r="BZ81" s="228"/>
      <c r="CB81" s="228"/>
      <c r="CD81" s="228"/>
      <c r="CF81" s="228"/>
    </row>
    <row r="82" spans="4:84">
      <c r="D82" s="228"/>
      <c r="E82" s="228"/>
      <c r="F82" s="228"/>
      <c r="G82" s="159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V82" s="228"/>
      <c r="AX82" s="228"/>
      <c r="AZ82" s="228"/>
      <c r="BB82" s="228"/>
      <c r="BD82" s="228"/>
      <c r="BF82" s="228"/>
      <c r="BH82" s="228"/>
      <c r="BJ82" s="228"/>
      <c r="BL82" s="228"/>
      <c r="BN82" s="228"/>
      <c r="BP82" s="228"/>
      <c r="BR82" s="228"/>
      <c r="BT82" s="228"/>
      <c r="BV82" s="228"/>
      <c r="BX82" s="228"/>
      <c r="BZ82" s="228"/>
      <c r="CB82" s="228"/>
      <c r="CD82" s="228"/>
      <c r="CF82" s="228"/>
    </row>
    <row r="83" spans="4:84">
      <c r="D83" s="228"/>
      <c r="E83" s="228"/>
      <c r="F83" s="228"/>
      <c r="G83" s="159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V83" s="228"/>
      <c r="AX83" s="228"/>
      <c r="AZ83" s="228"/>
      <c r="BB83" s="228"/>
      <c r="BD83" s="228"/>
      <c r="BF83" s="228"/>
      <c r="BH83" s="228"/>
      <c r="BJ83" s="228"/>
      <c r="BL83" s="228"/>
      <c r="BN83" s="228"/>
      <c r="BP83" s="228"/>
      <c r="BR83" s="228"/>
      <c r="BT83" s="228"/>
      <c r="BV83" s="228"/>
      <c r="BX83" s="228"/>
      <c r="BZ83" s="228"/>
      <c r="CB83" s="228"/>
      <c r="CD83" s="228"/>
      <c r="CF83" s="228"/>
    </row>
    <row r="84" spans="4:84">
      <c r="D84" s="228"/>
      <c r="E84" s="228"/>
      <c r="F84" s="228"/>
      <c r="G84" s="159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V84" s="228"/>
      <c r="AX84" s="228"/>
      <c r="AZ84" s="228"/>
      <c r="BB84" s="228"/>
      <c r="BD84" s="228"/>
      <c r="BF84" s="228"/>
      <c r="BH84" s="228"/>
      <c r="BJ84" s="228"/>
      <c r="BL84" s="228"/>
      <c r="BN84" s="228"/>
      <c r="BP84" s="228"/>
      <c r="BR84" s="228"/>
      <c r="BT84" s="228"/>
      <c r="BV84" s="228"/>
      <c r="BX84" s="228"/>
      <c r="BZ84" s="228"/>
      <c r="CB84" s="228"/>
      <c r="CD84" s="228"/>
      <c r="CF84" s="228"/>
    </row>
    <row r="85" spans="4:84">
      <c r="D85" s="228"/>
      <c r="E85" s="228"/>
      <c r="F85" s="228"/>
      <c r="G85" s="159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  <c r="AI85" s="228"/>
      <c r="AJ85" s="228"/>
      <c r="AK85" s="228"/>
      <c r="AL85" s="228"/>
      <c r="AM85" s="228"/>
      <c r="AN85" s="228"/>
      <c r="AO85" s="228"/>
      <c r="AP85" s="228"/>
      <c r="AQ85" s="228"/>
      <c r="AR85" s="228"/>
      <c r="AS85" s="228"/>
      <c r="AT85" s="228"/>
      <c r="AV85" s="228"/>
      <c r="AX85" s="228"/>
      <c r="AZ85" s="228"/>
      <c r="BB85" s="228"/>
      <c r="BD85" s="228"/>
      <c r="BF85" s="228"/>
      <c r="BH85" s="228"/>
      <c r="BJ85" s="228"/>
      <c r="BL85" s="228"/>
      <c r="BN85" s="228"/>
      <c r="BP85" s="228"/>
      <c r="BR85" s="228"/>
      <c r="BT85" s="228"/>
      <c r="BV85" s="228"/>
      <c r="BX85" s="228"/>
      <c r="BZ85" s="228"/>
      <c r="CB85" s="228"/>
      <c r="CD85" s="228"/>
      <c r="CF85" s="228"/>
    </row>
    <row r="86" spans="4:84" ht="15" thickBot="1">
      <c r="D86" s="228"/>
      <c r="E86" s="228"/>
      <c r="F86" s="228"/>
      <c r="G86" s="159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V86" s="228"/>
      <c r="AX86" s="228"/>
      <c r="AZ86" s="228"/>
      <c r="BB86" s="228"/>
      <c r="BD86" s="228"/>
      <c r="BF86" s="228"/>
      <c r="BH86" s="228"/>
      <c r="BJ86" s="228"/>
      <c r="BL86" s="228"/>
      <c r="BN86" s="228"/>
      <c r="BP86" s="228"/>
      <c r="BR86" s="228"/>
      <c r="BT86" s="228"/>
      <c r="BV86" s="228"/>
      <c r="BX86" s="228"/>
      <c r="BZ86" s="228"/>
      <c r="CB86" s="228"/>
      <c r="CD86" s="228"/>
      <c r="CF86" s="228"/>
    </row>
    <row r="87" spans="4:84">
      <c r="D87" s="228"/>
      <c r="E87" s="228"/>
      <c r="F87" s="228"/>
      <c r="G87" s="159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166" t="s">
        <v>151</v>
      </c>
      <c r="AM87" s="167" t="s">
        <v>152</v>
      </c>
      <c r="AN87" s="167" t="s">
        <v>153</v>
      </c>
      <c r="AO87" s="167" t="s">
        <v>154</v>
      </c>
      <c r="AP87" s="167" t="s">
        <v>155</v>
      </c>
      <c r="AQ87" s="167" t="s">
        <v>156</v>
      </c>
      <c r="AR87" s="167" t="s">
        <v>157</v>
      </c>
      <c r="AS87" s="167" t="s">
        <v>158</v>
      </c>
      <c r="AT87" s="168" t="s">
        <v>159</v>
      </c>
      <c r="AV87" s="228"/>
      <c r="AX87" s="228"/>
      <c r="AZ87" s="228"/>
      <c r="BB87" s="228"/>
      <c r="BD87" s="228"/>
      <c r="BF87" s="228"/>
      <c r="BH87" s="228"/>
      <c r="BJ87" s="228"/>
      <c r="BL87" s="228"/>
      <c r="BN87" s="228"/>
      <c r="BP87" s="228"/>
      <c r="BR87" s="228"/>
      <c r="BT87" s="228"/>
      <c r="BV87" s="228"/>
      <c r="BX87" s="228"/>
      <c r="BZ87" s="228"/>
      <c r="CB87" s="228"/>
      <c r="CD87" s="228"/>
      <c r="CF87" s="228"/>
    </row>
    <row r="88" spans="4:84">
      <c r="D88" s="228"/>
      <c r="E88" s="228"/>
      <c r="F88" s="228"/>
      <c r="G88" s="159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V88" s="228"/>
      <c r="AX88" s="228"/>
      <c r="AZ88" s="228"/>
      <c r="BB88" s="228"/>
      <c r="BD88" s="228"/>
      <c r="BF88" s="228"/>
      <c r="BH88" s="228"/>
      <c r="BJ88" s="228"/>
      <c r="BL88" s="228"/>
      <c r="BN88" s="228"/>
      <c r="BP88" s="228"/>
      <c r="BR88" s="228"/>
      <c r="BT88" s="228"/>
      <c r="BV88" s="228"/>
      <c r="BX88" s="228"/>
      <c r="BZ88" s="228"/>
      <c r="CB88" s="228"/>
      <c r="CD88" s="228"/>
      <c r="CF88" s="228"/>
    </row>
    <row r="89" spans="4:84">
      <c r="D89" s="228"/>
      <c r="E89" s="228"/>
      <c r="F89" s="228"/>
      <c r="G89" s="159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28"/>
      <c r="AT89" s="228"/>
      <c r="AV89" s="228"/>
      <c r="AX89" s="228"/>
      <c r="AZ89" s="228"/>
      <c r="BB89" s="228"/>
      <c r="BD89" s="228"/>
      <c r="BF89" s="228"/>
      <c r="BH89" s="228"/>
      <c r="BJ89" s="228"/>
      <c r="BL89" s="228"/>
      <c r="BN89" s="228"/>
      <c r="BP89" s="228"/>
      <c r="BR89" s="228"/>
      <c r="BT89" s="228"/>
      <c r="BV89" s="228"/>
      <c r="BX89" s="228"/>
      <c r="BZ89" s="228"/>
      <c r="CB89" s="228"/>
      <c r="CD89" s="228"/>
      <c r="CF89" s="228"/>
    </row>
    <row r="90" spans="4:84">
      <c r="D90" s="228"/>
      <c r="E90" s="228"/>
      <c r="F90" s="228"/>
      <c r="G90" s="159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/>
      <c r="AT90" s="228"/>
      <c r="AV90" s="228"/>
      <c r="AX90" s="228"/>
      <c r="AZ90" s="228"/>
      <c r="BB90" s="228"/>
      <c r="BD90" s="228"/>
      <c r="BF90" s="228"/>
      <c r="BH90" s="228"/>
      <c r="BJ90" s="228"/>
      <c r="BL90" s="228"/>
      <c r="BN90" s="228"/>
      <c r="BP90" s="228"/>
      <c r="BR90" s="228"/>
      <c r="BT90" s="228"/>
      <c r="BV90" s="228"/>
      <c r="BX90" s="228"/>
      <c r="BZ90" s="228"/>
      <c r="CB90" s="228"/>
      <c r="CD90" s="228"/>
      <c r="CF90" s="228"/>
    </row>
    <row r="91" spans="4:84">
      <c r="D91" s="228"/>
      <c r="E91" s="228"/>
      <c r="F91" s="228"/>
      <c r="G91" s="159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  <c r="AE91" s="228"/>
      <c r="AF91" s="228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  <c r="AT91" s="228"/>
      <c r="AV91" s="228"/>
      <c r="AX91" s="228"/>
      <c r="AZ91" s="228"/>
      <c r="BB91" s="228"/>
      <c r="BD91" s="228"/>
      <c r="BF91" s="228"/>
      <c r="BH91" s="228"/>
      <c r="BJ91" s="228"/>
      <c r="BL91" s="228"/>
      <c r="BN91" s="228"/>
      <c r="BP91" s="228"/>
      <c r="BR91" s="228"/>
      <c r="BT91" s="228"/>
      <c r="BV91" s="228"/>
      <c r="BX91" s="228"/>
      <c r="BZ91" s="228"/>
      <c r="CB91" s="228"/>
      <c r="CD91" s="228"/>
      <c r="CF91" s="228"/>
    </row>
    <row r="92" spans="4:84">
      <c r="D92" s="228"/>
      <c r="E92" s="228"/>
      <c r="F92" s="228"/>
      <c r="G92" s="159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  <c r="AG92" s="228"/>
      <c r="AH92" s="228"/>
      <c r="AI92" s="228"/>
      <c r="AJ92" s="228"/>
      <c r="AK92" s="228"/>
      <c r="AL92" s="228"/>
      <c r="AM92" s="228"/>
      <c r="AN92" s="228"/>
      <c r="AO92" s="228"/>
      <c r="AP92" s="228"/>
      <c r="AQ92" s="228"/>
      <c r="AR92" s="228"/>
      <c r="AS92" s="228"/>
      <c r="AT92" s="228"/>
      <c r="AV92" s="228"/>
      <c r="AX92" s="228"/>
      <c r="AZ92" s="228"/>
      <c r="BB92" s="228"/>
      <c r="BD92" s="228"/>
      <c r="BF92" s="228"/>
      <c r="BH92" s="228"/>
      <c r="BJ92" s="228"/>
      <c r="BL92" s="228"/>
      <c r="BN92" s="228"/>
      <c r="BP92" s="228"/>
      <c r="BR92" s="228"/>
      <c r="BT92" s="228"/>
      <c r="BV92" s="228"/>
      <c r="BX92" s="228"/>
      <c r="BZ92" s="228"/>
      <c r="CB92" s="228"/>
      <c r="CD92" s="228"/>
      <c r="CF92" s="228"/>
    </row>
    <row r="93" spans="4:84">
      <c r="D93" s="228"/>
      <c r="E93" s="228"/>
      <c r="F93" s="228"/>
      <c r="G93" s="159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  <c r="AE93" s="228"/>
      <c r="AF93" s="228"/>
      <c r="AG93" s="228"/>
      <c r="AH93" s="228"/>
      <c r="AI93" s="228"/>
      <c r="AJ93" s="228"/>
      <c r="AK93" s="228"/>
      <c r="AL93" s="228"/>
      <c r="AM93" s="228"/>
      <c r="AN93" s="228"/>
      <c r="AO93" s="228"/>
      <c r="AP93" s="228"/>
      <c r="AQ93" s="228"/>
      <c r="AR93" s="228"/>
      <c r="AS93" s="228"/>
      <c r="AT93" s="228"/>
      <c r="AV93" s="228"/>
      <c r="AX93" s="228"/>
      <c r="AZ93" s="228"/>
      <c r="BB93" s="228"/>
      <c r="BD93" s="228"/>
      <c r="BF93" s="228"/>
      <c r="BH93" s="228"/>
      <c r="BJ93" s="228"/>
      <c r="BL93" s="228"/>
      <c r="BN93" s="228"/>
      <c r="BP93" s="228"/>
      <c r="BR93" s="228"/>
      <c r="BT93" s="228"/>
      <c r="BV93" s="228"/>
      <c r="BX93" s="228"/>
      <c r="BZ93" s="228"/>
      <c r="CB93" s="228"/>
      <c r="CD93" s="228"/>
      <c r="CF93" s="228"/>
    </row>
    <row r="94" spans="4:84">
      <c r="D94" s="228"/>
      <c r="E94" s="228"/>
      <c r="F94" s="228"/>
      <c r="G94" s="159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  <c r="AE94" s="228"/>
      <c r="AF94" s="228"/>
      <c r="AG94" s="228"/>
      <c r="AH94" s="228"/>
      <c r="AI94" s="228"/>
      <c r="AJ94" s="228"/>
      <c r="AK94" s="228"/>
      <c r="AL94" s="228"/>
      <c r="AM94" s="228"/>
      <c r="AN94" s="228"/>
      <c r="AO94" s="228"/>
      <c r="AP94" s="228"/>
      <c r="AQ94" s="228"/>
      <c r="AR94" s="228"/>
      <c r="AS94" s="228"/>
      <c r="AT94" s="228"/>
      <c r="AV94" s="228"/>
      <c r="AX94" s="228"/>
      <c r="AZ94" s="228"/>
      <c r="BB94" s="228"/>
      <c r="BD94" s="228"/>
      <c r="BF94" s="228"/>
      <c r="BH94" s="228"/>
      <c r="BJ94" s="228"/>
      <c r="BL94" s="228"/>
      <c r="BN94" s="228"/>
      <c r="BP94" s="228"/>
      <c r="BR94" s="228"/>
      <c r="BT94" s="228"/>
      <c r="BV94" s="228"/>
      <c r="BX94" s="228"/>
      <c r="BZ94" s="228"/>
      <c r="CB94" s="228"/>
      <c r="CD94" s="228"/>
      <c r="CF94" s="228"/>
    </row>
    <row r="95" spans="4:84">
      <c r="D95" s="228"/>
      <c r="E95" s="228"/>
      <c r="F95" s="228"/>
      <c r="G95" s="159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  <c r="AE95" s="228"/>
      <c r="AF95" s="228"/>
      <c r="AG95" s="228"/>
      <c r="AH95" s="228"/>
      <c r="AI95" s="228"/>
      <c r="AJ95" s="228"/>
      <c r="AK95" s="228"/>
      <c r="AL95" s="228"/>
      <c r="AM95" s="228"/>
      <c r="AN95" s="228"/>
      <c r="AO95" s="228"/>
      <c r="AP95" s="228"/>
      <c r="AQ95" s="228"/>
      <c r="AR95" s="228"/>
      <c r="AS95" s="228"/>
      <c r="AT95" s="228"/>
      <c r="AV95" s="228"/>
      <c r="AX95" s="228"/>
      <c r="AZ95" s="228"/>
      <c r="BB95" s="228"/>
      <c r="BD95" s="228"/>
      <c r="BF95" s="228"/>
      <c r="BH95" s="228"/>
      <c r="BJ95" s="228"/>
      <c r="BL95" s="228"/>
      <c r="BN95" s="228"/>
      <c r="BP95" s="228"/>
      <c r="BR95" s="228"/>
      <c r="BT95" s="228"/>
      <c r="BV95" s="228"/>
      <c r="BX95" s="228"/>
      <c r="BZ95" s="228"/>
      <c r="CB95" s="228"/>
      <c r="CD95" s="228"/>
      <c r="CF95" s="228"/>
    </row>
    <row r="96" spans="4:84">
      <c r="D96" s="228"/>
      <c r="E96" s="228"/>
      <c r="F96" s="228"/>
      <c r="G96" s="159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28"/>
      <c r="AT96" s="228"/>
      <c r="AV96" s="228"/>
      <c r="AX96" s="228"/>
      <c r="AZ96" s="228"/>
      <c r="BB96" s="228"/>
      <c r="BD96" s="228"/>
      <c r="BF96" s="228"/>
      <c r="BH96" s="228"/>
      <c r="BJ96" s="228"/>
      <c r="BL96" s="228"/>
      <c r="BN96" s="228"/>
      <c r="BP96" s="228"/>
      <c r="BR96" s="228"/>
      <c r="BT96" s="228"/>
      <c r="BV96" s="228"/>
      <c r="BX96" s="228"/>
      <c r="BZ96" s="228"/>
      <c r="CB96" s="228"/>
      <c r="CD96" s="228"/>
      <c r="CF96" s="228"/>
    </row>
    <row r="97" spans="4:84">
      <c r="D97" s="228"/>
      <c r="E97" s="228"/>
      <c r="F97" s="228"/>
      <c r="G97" s="159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  <c r="AE97" s="228"/>
      <c r="AF97" s="228"/>
      <c r="AG97" s="228"/>
      <c r="AH97" s="228"/>
      <c r="AI97" s="228"/>
      <c r="AJ97" s="228"/>
      <c r="AK97" s="228"/>
      <c r="AL97" s="228"/>
      <c r="AM97" s="228"/>
      <c r="AN97" s="228"/>
      <c r="AO97" s="228"/>
      <c r="AP97" s="228"/>
      <c r="AQ97" s="228"/>
      <c r="AR97" s="228"/>
      <c r="AS97" s="228"/>
      <c r="AT97" s="228"/>
      <c r="AV97" s="228"/>
      <c r="AX97" s="228"/>
      <c r="AZ97" s="228"/>
      <c r="BB97" s="228"/>
      <c r="BD97" s="228"/>
      <c r="BF97" s="228"/>
      <c r="BH97" s="228"/>
      <c r="BJ97" s="228"/>
      <c r="BL97" s="228"/>
      <c r="BN97" s="228"/>
      <c r="BP97" s="228"/>
      <c r="BR97" s="228"/>
      <c r="BT97" s="228"/>
      <c r="BV97" s="228"/>
      <c r="BX97" s="228"/>
      <c r="BZ97" s="228"/>
      <c r="CB97" s="228"/>
      <c r="CD97" s="228"/>
      <c r="CF97" s="228"/>
    </row>
    <row r="98" spans="4:84">
      <c r="D98" s="228"/>
      <c r="E98" s="228"/>
      <c r="F98" s="228"/>
      <c r="G98" s="159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  <c r="AG98" s="228"/>
      <c r="AH98" s="228"/>
      <c r="AI98" s="228"/>
      <c r="AJ98" s="228"/>
      <c r="AK98" s="228"/>
      <c r="AL98" s="228"/>
      <c r="AM98" s="228"/>
      <c r="AN98" s="228"/>
      <c r="AO98" s="228"/>
      <c r="AP98" s="228"/>
      <c r="AQ98" s="228"/>
      <c r="AR98" s="228"/>
      <c r="AS98" s="228"/>
      <c r="AT98" s="228"/>
      <c r="AV98" s="228"/>
      <c r="AX98" s="228"/>
      <c r="AZ98" s="228"/>
      <c r="BB98" s="228"/>
      <c r="BD98" s="228"/>
      <c r="BF98" s="228"/>
      <c r="BH98" s="228"/>
      <c r="BJ98" s="228"/>
      <c r="BL98" s="228"/>
      <c r="BN98" s="228"/>
      <c r="BP98" s="228"/>
      <c r="BR98" s="228"/>
      <c r="BT98" s="228"/>
      <c r="BV98" s="228"/>
      <c r="BX98" s="228"/>
      <c r="BZ98" s="228"/>
      <c r="CB98" s="228"/>
      <c r="CD98" s="228"/>
      <c r="CF98" s="228"/>
    </row>
    <row r="99" spans="4:84">
      <c r="D99" s="228"/>
      <c r="E99" s="228"/>
      <c r="F99" s="228"/>
      <c r="G99" s="159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  <c r="AE99" s="228"/>
      <c r="AF99" s="228"/>
      <c r="AG99" s="228"/>
      <c r="AH99" s="228"/>
      <c r="AI99" s="228"/>
      <c r="AJ99" s="228"/>
      <c r="AK99" s="228"/>
      <c r="AL99" s="228"/>
      <c r="AM99" s="228"/>
      <c r="AN99" s="228"/>
      <c r="AO99" s="228"/>
      <c r="AP99" s="228"/>
      <c r="AQ99" s="228"/>
      <c r="AR99" s="228"/>
      <c r="AS99" s="228"/>
      <c r="AT99" s="228"/>
      <c r="AV99" s="228"/>
      <c r="AX99" s="228"/>
      <c r="AZ99" s="228"/>
      <c r="BB99" s="228"/>
      <c r="BD99" s="228"/>
      <c r="BF99" s="228"/>
      <c r="BH99" s="228"/>
      <c r="BJ99" s="228"/>
      <c r="BL99" s="228"/>
      <c r="BN99" s="228"/>
      <c r="BP99" s="228"/>
      <c r="BR99" s="228"/>
      <c r="BT99" s="228"/>
      <c r="BV99" s="228"/>
      <c r="BX99" s="228"/>
      <c r="BZ99" s="228"/>
      <c r="CB99" s="228"/>
      <c r="CD99" s="228"/>
      <c r="CF99" s="228"/>
    </row>
    <row r="100" spans="4:84">
      <c r="D100" s="228"/>
      <c r="E100" s="228"/>
      <c r="F100" s="228"/>
      <c r="G100" s="159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/>
      <c r="AT100" s="228"/>
      <c r="AV100" s="228"/>
      <c r="AX100" s="228"/>
      <c r="AZ100" s="228"/>
      <c r="BB100" s="228"/>
      <c r="BD100" s="228"/>
      <c r="BF100" s="228"/>
      <c r="BH100" s="228"/>
      <c r="BJ100" s="228"/>
      <c r="BL100" s="228"/>
      <c r="BN100" s="228"/>
      <c r="BP100" s="228"/>
      <c r="BR100" s="228"/>
      <c r="BT100" s="228"/>
      <c r="BV100" s="228"/>
      <c r="BX100" s="228"/>
      <c r="BZ100" s="228"/>
      <c r="CB100" s="228"/>
      <c r="CD100" s="228"/>
      <c r="CF100" s="228"/>
    </row>
    <row r="101" spans="4:84">
      <c r="D101" s="228"/>
      <c r="E101" s="228"/>
      <c r="F101" s="228"/>
      <c r="G101" s="159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  <c r="AL101" s="228"/>
      <c r="AM101" s="228"/>
      <c r="AN101" s="228"/>
      <c r="AO101" s="228"/>
      <c r="AP101" s="228"/>
      <c r="AQ101" s="228"/>
      <c r="AR101" s="228"/>
      <c r="AS101" s="228"/>
      <c r="AT101" s="228"/>
      <c r="AV101" s="228"/>
      <c r="AX101" s="228"/>
      <c r="AZ101" s="228"/>
      <c r="BB101" s="228"/>
      <c r="BD101" s="228"/>
      <c r="BF101" s="228"/>
      <c r="BH101" s="228"/>
      <c r="BJ101" s="228"/>
      <c r="BL101" s="228"/>
      <c r="BN101" s="228"/>
      <c r="BP101" s="228"/>
      <c r="BR101" s="228"/>
      <c r="BT101" s="228"/>
      <c r="BV101" s="228"/>
      <c r="BX101" s="228"/>
      <c r="BZ101" s="228"/>
      <c r="CB101" s="228"/>
      <c r="CD101" s="228"/>
      <c r="CF101" s="228"/>
    </row>
    <row r="102" spans="4:84">
      <c r="D102" s="228"/>
      <c r="E102" s="228"/>
      <c r="F102" s="228"/>
      <c r="G102" s="159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/>
      <c r="AT102" s="228"/>
      <c r="AV102" s="228"/>
      <c r="AX102" s="228"/>
      <c r="AZ102" s="228"/>
      <c r="BB102" s="228"/>
      <c r="BD102" s="228"/>
      <c r="BF102" s="228"/>
      <c r="BH102" s="228"/>
      <c r="BJ102" s="228"/>
      <c r="BL102" s="228"/>
      <c r="BN102" s="228"/>
      <c r="BP102" s="228"/>
      <c r="BR102" s="228"/>
      <c r="BT102" s="228"/>
      <c r="BV102" s="228"/>
      <c r="BX102" s="228"/>
      <c r="BZ102" s="228"/>
      <c r="CB102" s="228"/>
      <c r="CD102" s="228"/>
      <c r="CF102" s="228"/>
    </row>
    <row r="103" spans="4:84">
      <c r="D103" s="228"/>
      <c r="E103" s="228"/>
      <c r="F103" s="228"/>
      <c r="G103" s="159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  <c r="AE103" s="228"/>
      <c r="AF103" s="228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/>
      <c r="AT103" s="228"/>
      <c r="AV103" s="228"/>
      <c r="AX103" s="228"/>
      <c r="AZ103" s="228"/>
      <c r="BB103" s="228"/>
      <c r="BD103" s="228"/>
      <c r="BF103" s="228"/>
      <c r="BH103" s="228"/>
      <c r="BJ103" s="228"/>
      <c r="BL103" s="228"/>
      <c r="BN103" s="228"/>
      <c r="BP103" s="228"/>
      <c r="BR103" s="228"/>
      <c r="BT103" s="228"/>
      <c r="BV103" s="228"/>
      <c r="BX103" s="228"/>
      <c r="BZ103" s="228"/>
      <c r="CB103" s="228"/>
      <c r="CD103" s="228"/>
      <c r="CF103" s="228"/>
    </row>
    <row r="104" spans="4:84">
      <c r="D104" s="228"/>
      <c r="E104" s="228"/>
      <c r="F104" s="228"/>
      <c r="G104" s="159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V104" s="228"/>
      <c r="AX104" s="228"/>
      <c r="AZ104" s="228"/>
      <c r="BB104" s="228"/>
      <c r="BD104" s="228"/>
      <c r="BF104" s="228"/>
      <c r="BH104" s="228"/>
      <c r="BJ104" s="228"/>
      <c r="BL104" s="228"/>
      <c r="BN104" s="228"/>
      <c r="BP104" s="228"/>
      <c r="BR104" s="228"/>
      <c r="BT104" s="228"/>
      <c r="BV104" s="228"/>
      <c r="BX104" s="228"/>
      <c r="BZ104" s="228"/>
      <c r="CB104" s="228"/>
      <c r="CD104" s="228"/>
      <c r="CF104" s="228"/>
    </row>
    <row r="105" spans="4:84">
      <c r="D105" s="228"/>
      <c r="E105" s="228"/>
      <c r="F105" s="228"/>
      <c r="G105" s="159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  <c r="AE105" s="228"/>
      <c r="AF105" s="228"/>
      <c r="AG105" s="228"/>
      <c r="AH105" s="228"/>
      <c r="AI105" s="228"/>
      <c r="AJ105" s="228"/>
      <c r="AK105" s="228"/>
      <c r="AL105" s="228"/>
      <c r="AM105" s="228"/>
      <c r="AN105" s="228"/>
      <c r="AO105" s="228"/>
      <c r="AP105" s="228"/>
      <c r="AQ105" s="228"/>
      <c r="AR105" s="228"/>
      <c r="AS105" s="228"/>
      <c r="AT105" s="228"/>
      <c r="AV105" s="228"/>
      <c r="AX105" s="228"/>
      <c r="AZ105" s="228"/>
      <c r="BB105" s="228"/>
      <c r="BD105" s="228"/>
      <c r="BF105" s="228"/>
      <c r="BH105" s="228"/>
      <c r="BJ105" s="228"/>
      <c r="BL105" s="228"/>
      <c r="BN105" s="228"/>
      <c r="BP105" s="228"/>
      <c r="BR105" s="228"/>
      <c r="BT105" s="228"/>
      <c r="BV105" s="228"/>
      <c r="BX105" s="228"/>
      <c r="BZ105" s="228"/>
      <c r="CB105" s="228"/>
      <c r="CD105" s="228"/>
      <c r="CF105" s="228"/>
    </row>
    <row r="106" spans="4:84">
      <c r="D106" s="228"/>
      <c r="E106" s="228"/>
      <c r="F106" s="228"/>
      <c r="G106" s="159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  <c r="AE106" s="228"/>
      <c r="AF106" s="228"/>
      <c r="AG106" s="228"/>
      <c r="AH106" s="228"/>
      <c r="AI106" s="228"/>
      <c r="AJ106" s="228"/>
      <c r="AK106" s="228"/>
      <c r="AL106" s="228"/>
      <c r="AM106" s="228"/>
      <c r="AN106" s="228"/>
      <c r="AO106" s="228"/>
      <c r="AP106" s="228"/>
      <c r="AQ106" s="228"/>
      <c r="AR106" s="228"/>
      <c r="AS106" s="228"/>
      <c r="AT106" s="228"/>
      <c r="AV106" s="228"/>
      <c r="AX106" s="228"/>
      <c r="AZ106" s="228"/>
      <c r="BB106" s="228"/>
      <c r="BD106" s="228"/>
      <c r="BF106" s="228"/>
      <c r="BH106" s="228"/>
      <c r="BJ106" s="228"/>
      <c r="BL106" s="228"/>
      <c r="BN106" s="228"/>
      <c r="BP106" s="228"/>
      <c r="BR106" s="228"/>
      <c r="BT106" s="228"/>
      <c r="BV106" s="228"/>
      <c r="BX106" s="228"/>
      <c r="BZ106" s="228"/>
      <c r="CB106" s="228"/>
      <c r="CD106" s="228"/>
      <c r="CF106" s="228"/>
    </row>
    <row r="107" spans="4:84">
      <c r="D107" s="228"/>
      <c r="E107" s="228"/>
      <c r="F107" s="228"/>
      <c r="G107" s="159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  <c r="AE107" s="228"/>
      <c r="AF107" s="228"/>
      <c r="AG107" s="228"/>
      <c r="AH107" s="228"/>
      <c r="AI107" s="228"/>
      <c r="AJ107" s="228"/>
      <c r="AK107" s="228"/>
      <c r="AL107" s="228"/>
      <c r="AM107" s="228"/>
      <c r="AN107" s="228"/>
      <c r="AO107" s="228"/>
      <c r="AP107" s="228"/>
      <c r="AQ107" s="228"/>
      <c r="AR107" s="228"/>
      <c r="AS107" s="228"/>
      <c r="AT107" s="228"/>
      <c r="AV107" s="228"/>
      <c r="AX107" s="228"/>
      <c r="AZ107" s="228"/>
      <c r="BB107" s="228"/>
      <c r="BD107" s="228"/>
      <c r="BF107" s="228"/>
      <c r="BH107" s="228"/>
      <c r="BJ107" s="228"/>
      <c r="BL107" s="228"/>
      <c r="BN107" s="228"/>
      <c r="BP107" s="228"/>
      <c r="BR107" s="228"/>
      <c r="BT107" s="228"/>
      <c r="BV107" s="228"/>
      <c r="BX107" s="228"/>
      <c r="BZ107" s="228"/>
      <c r="CB107" s="228"/>
      <c r="CD107" s="228"/>
      <c r="CF107" s="228"/>
    </row>
    <row r="108" spans="4:84">
      <c r="D108" s="228"/>
      <c r="E108" s="228"/>
      <c r="F108" s="228"/>
      <c r="G108" s="159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  <c r="AE108" s="228"/>
      <c r="AF108" s="228"/>
      <c r="AG108" s="228"/>
      <c r="AH108" s="228"/>
      <c r="AI108" s="228"/>
      <c r="AJ108" s="228"/>
      <c r="AK108" s="228"/>
      <c r="AL108" s="228"/>
      <c r="AM108" s="228"/>
      <c r="AN108" s="228"/>
      <c r="AO108" s="228"/>
      <c r="AP108" s="228"/>
      <c r="AQ108" s="228"/>
      <c r="AR108" s="228"/>
      <c r="AS108" s="228"/>
      <c r="AT108" s="228"/>
      <c r="AV108" s="228"/>
      <c r="AX108" s="228"/>
      <c r="AZ108" s="228"/>
      <c r="BB108" s="228"/>
      <c r="BD108" s="228"/>
      <c r="BF108" s="228"/>
      <c r="BH108" s="228"/>
      <c r="BJ108" s="228"/>
      <c r="BL108" s="228"/>
      <c r="BN108" s="228"/>
      <c r="BP108" s="228"/>
      <c r="BR108" s="228"/>
      <c r="BT108" s="228"/>
      <c r="BV108" s="228"/>
      <c r="BX108" s="228"/>
      <c r="BZ108" s="228"/>
      <c r="CB108" s="228"/>
      <c r="CD108" s="228"/>
      <c r="CF108" s="228"/>
    </row>
    <row r="109" spans="4:84">
      <c r="D109" s="228"/>
      <c r="E109" s="228"/>
      <c r="F109" s="228"/>
      <c r="G109" s="159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  <c r="AI109" s="228"/>
      <c r="AJ109" s="228"/>
      <c r="AK109" s="228"/>
      <c r="AL109" s="228"/>
      <c r="AM109" s="228"/>
      <c r="AN109" s="228"/>
      <c r="AO109" s="228"/>
      <c r="AP109" s="228"/>
      <c r="AQ109" s="228"/>
      <c r="AR109" s="228"/>
      <c r="AS109" s="228"/>
      <c r="AT109" s="228"/>
      <c r="AV109" s="228"/>
      <c r="AX109" s="228"/>
      <c r="AZ109" s="228"/>
      <c r="BB109" s="228"/>
      <c r="BD109" s="228"/>
      <c r="BF109" s="228"/>
      <c r="BH109" s="228"/>
      <c r="BJ109" s="228"/>
      <c r="BL109" s="228"/>
      <c r="BN109" s="228"/>
      <c r="BP109" s="228"/>
      <c r="BR109" s="228"/>
      <c r="BT109" s="228"/>
      <c r="BV109" s="228"/>
      <c r="BX109" s="228"/>
      <c r="BZ109" s="228"/>
      <c r="CB109" s="228"/>
      <c r="CD109" s="228"/>
      <c r="CF109" s="228"/>
    </row>
    <row r="110" spans="4:84">
      <c r="D110" s="228"/>
      <c r="E110" s="228"/>
      <c r="F110" s="228"/>
      <c r="G110" s="159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  <c r="AE110" s="228"/>
      <c r="AF110" s="228"/>
      <c r="AG110" s="228"/>
      <c r="AH110" s="228"/>
      <c r="AI110" s="228"/>
      <c r="AJ110" s="228"/>
      <c r="AK110" s="228"/>
      <c r="AL110" s="228"/>
      <c r="AM110" s="228"/>
      <c r="AN110" s="228"/>
      <c r="AO110" s="228"/>
      <c r="AP110" s="228"/>
      <c r="AQ110" s="228"/>
      <c r="AR110" s="228"/>
      <c r="AS110" s="228"/>
      <c r="AT110" s="228"/>
      <c r="AV110" s="228"/>
      <c r="AX110" s="228"/>
      <c r="AZ110" s="228"/>
      <c r="BB110" s="228"/>
      <c r="BD110" s="228"/>
      <c r="BF110" s="228"/>
      <c r="BH110" s="228"/>
      <c r="BJ110" s="228"/>
      <c r="BL110" s="228"/>
      <c r="BN110" s="228"/>
      <c r="BP110" s="228"/>
      <c r="BR110" s="228"/>
      <c r="BT110" s="228"/>
      <c r="BV110" s="228"/>
      <c r="BX110" s="228"/>
      <c r="BZ110" s="228"/>
      <c r="CB110" s="228"/>
      <c r="CD110" s="228"/>
      <c r="CF110" s="228"/>
    </row>
    <row r="111" spans="4:84">
      <c r="D111" s="228"/>
      <c r="E111" s="228"/>
      <c r="F111" s="228"/>
      <c r="G111" s="159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  <c r="AE111" s="228"/>
      <c r="AF111" s="228"/>
      <c r="AG111" s="228"/>
      <c r="AH111" s="228"/>
      <c r="AI111" s="228"/>
      <c r="AJ111" s="228"/>
      <c r="AK111" s="228"/>
      <c r="AL111" s="228"/>
      <c r="AM111" s="228"/>
      <c r="AN111" s="228"/>
      <c r="AO111" s="228"/>
      <c r="AP111" s="228"/>
      <c r="AQ111" s="228"/>
      <c r="AR111" s="228"/>
      <c r="AS111" s="228"/>
      <c r="AT111" s="228"/>
      <c r="AV111" s="228"/>
      <c r="AX111" s="228"/>
      <c r="AZ111" s="228"/>
      <c r="BB111" s="228"/>
      <c r="BD111" s="228"/>
      <c r="BF111" s="228"/>
      <c r="BH111" s="228"/>
      <c r="BJ111" s="228"/>
      <c r="BL111" s="228"/>
      <c r="BN111" s="228"/>
      <c r="BP111" s="228"/>
      <c r="BR111" s="228"/>
      <c r="BT111" s="228"/>
      <c r="BV111" s="228"/>
      <c r="BX111" s="228"/>
      <c r="BZ111" s="228"/>
      <c r="CB111" s="228"/>
      <c r="CD111" s="228"/>
      <c r="CF111" s="228"/>
    </row>
    <row r="112" spans="4:84">
      <c r="D112" s="228"/>
      <c r="E112" s="228"/>
      <c r="F112" s="228"/>
      <c r="G112" s="159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  <c r="AE112" s="228"/>
      <c r="AF112" s="228"/>
      <c r="AG112" s="228"/>
      <c r="AH112" s="228"/>
      <c r="AI112" s="228"/>
      <c r="AJ112" s="228"/>
      <c r="AK112" s="228"/>
      <c r="AL112" s="228"/>
      <c r="AM112" s="228"/>
      <c r="AN112" s="228"/>
      <c r="AO112" s="228"/>
      <c r="AP112" s="228"/>
      <c r="AQ112" s="228"/>
      <c r="AR112" s="228"/>
      <c r="AS112" s="228"/>
      <c r="AT112" s="228"/>
      <c r="AV112" s="228"/>
      <c r="AX112" s="228"/>
      <c r="AZ112" s="228"/>
      <c r="BB112" s="228"/>
      <c r="BD112" s="228"/>
      <c r="BF112" s="228"/>
      <c r="BH112" s="228"/>
      <c r="BJ112" s="228"/>
      <c r="BL112" s="228"/>
      <c r="BN112" s="228"/>
      <c r="BP112" s="228"/>
      <c r="BR112" s="228"/>
      <c r="BT112" s="228"/>
      <c r="BV112" s="228"/>
      <c r="BX112" s="228"/>
      <c r="BZ112" s="228"/>
      <c r="CB112" s="228"/>
      <c r="CD112" s="228"/>
      <c r="CF112" s="228"/>
    </row>
    <row r="113" spans="4:84">
      <c r="D113" s="228"/>
      <c r="E113" s="228"/>
      <c r="F113" s="228"/>
      <c r="G113" s="159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  <c r="AE113" s="228"/>
      <c r="AF113" s="228"/>
      <c r="AG113" s="228"/>
      <c r="AH113" s="228"/>
      <c r="AI113" s="228"/>
      <c r="AJ113" s="228"/>
      <c r="AK113" s="228"/>
      <c r="AL113" s="228"/>
      <c r="AM113" s="228"/>
      <c r="AN113" s="228"/>
      <c r="AO113" s="228"/>
      <c r="AP113" s="228"/>
      <c r="AQ113" s="228"/>
      <c r="AR113" s="228"/>
      <c r="AS113" s="228"/>
      <c r="AT113" s="228"/>
      <c r="AV113" s="228"/>
      <c r="AX113" s="228"/>
      <c r="AZ113" s="228"/>
      <c r="BB113" s="228"/>
      <c r="BD113" s="228"/>
      <c r="BF113" s="228"/>
      <c r="BH113" s="228"/>
      <c r="BJ113" s="228"/>
      <c r="BL113" s="228"/>
      <c r="BN113" s="228"/>
      <c r="BP113" s="228"/>
      <c r="BR113" s="228"/>
      <c r="BT113" s="228"/>
      <c r="BV113" s="228"/>
      <c r="BX113" s="228"/>
      <c r="BZ113" s="228"/>
      <c r="CB113" s="228"/>
      <c r="CD113" s="228"/>
      <c r="CF113" s="228"/>
    </row>
    <row r="114" spans="4:84">
      <c r="D114" s="228"/>
      <c r="E114" s="228"/>
      <c r="F114" s="228"/>
      <c r="G114" s="159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  <c r="AE114" s="228"/>
      <c r="AF114" s="228"/>
      <c r="AG114" s="228"/>
      <c r="AH114" s="228"/>
      <c r="AI114" s="228"/>
      <c r="AJ114" s="228"/>
      <c r="AK114" s="228"/>
      <c r="AL114" s="228"/>
      <c r="AM114" s="228"/>
      <c r="AN114" s="228"/>
      <c r="AO114" s="228"/>
      <c r="AP114" s="228"/>
      <c r="AQ114" s="228"/>
      <c r="AR114" s="228"/>
      <c r="AS114" s="228"/>
      <c r="AT114" s="228"/>
      <c r="AV114" s="228"/>
      <c r="AX114" s="228"/>
      <c r="AZ114" s="228"/>
      <c r="BB114" s="228"/>
      <c r="BD114" s="228"/>
      <c r="BF114" s="228"/>
      <c r="BH114" s="228"/>
      <c r="BJ114" s="228"/>
      <c r="BL114" s="228"/>
      <c r="BN114" s="228"/>
      <c r="BP114" s="228"/>
      <c r="BR114" s="228"/>
      <c r="BT114" s="228"/>
      <c r="BV114" s="228"/>
      <c r="BX114" s="228"/>
      <c r="BZ114" s="228"/>
      <c r="CB114" s="228"/>
      <c r="CD114" s="228"/>
      <c r="CF114" s="228"/>
    </row>
    <row r="115" spans="4:84">
      <c r="D115" s="228"/>
      <c r="E115" s="228"/>
      <c r="F115" s="228"/>
      <c r="G115" s="159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  <c r="AE115" s="228"/>
      <c r="AF115" s="228"/>
      <c r="AG115" s="228"/>
      <c r="AH115" s="228"/>
      <c r="AI115" s="228"/>
      <c r="AJ115" s="228"/>
      <c r="AK115" s="228"/>
      <c r="AL115" s="228"/>
      <c r="AM115" s="228"/>
      <c r="AN115" s="228"/>
      <c r="AO115" s="228"/>
      <c r="AP115" s="228"/>
      <c r="AQ115" s="228"/>
      <c r="AR115" s="228"/>
      <c r="AS115" s="228"/>
      <c r="AT115" s="228"/>
      <c r="AV115" s="228"/>
      <c r="AX115" s="228"/>
      <c r="AZ115" s="228"/>
      <c r="BB115" s="228"/>
      <c r="BD115" s="228"/>
      <c r="BF115" s="228"/>
      <c r="BH115" s="228"/>
      <c r="BJ115" s="228"/>
      <c r="BL115" s="228"/>
      <c r="BN115" s="228"/>
      <c r="BP115" s="228"/>
      <c r="BR115" s="228"/>
      <c r="BT115" s="228"/>
      <c r="BV115" s="228"/>
      <c r="BX115" s="228"/>
      <c r="BZ115" s="228"/>
      <c r="CB115" s="228"/>
      <c r="CD115" s="228"/>
      <c r="CF115" s="228"/>
    </row>
    <row r="116" spans="4:84">
      <c r="D116" s="228"/>
      <c r="E116" s="228"/>
      <c r="F116" s="228"/>
      <c r="G116" s="159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  <c r="AE116" s="228"/>
      <c r="AF116" s="228"/>
      <c r="AG116" s="228"/>
      <c r="AH116" s="228"/>
      <c r="AI116" s="228"/>
      <c r="AJ116" s="228"/>
      <c r="AK116" s="228"/>
      <c r="AL116" s="228"/>
      <c r="AM116" s="228"/>
      <c r="AN116" s="228"/>
      <c r="AO116" s="228"/>
      <c r="AP116" s="228"/>
      <c r="AQ116" s="228"/>
      <c r="AR116" s="228"/>
      <c r="AS116" s="228"/>
      <c r="AT116" s="228"/>
      <c r="AV116" s="228"/>
      <c r="AX116" s="228"/>
      <c r="AZ116" s="228"/>
      <c r="BB116" s="228"/>
      <c r="BD116" s="228"/>
      <c r="BF116" s="228"/>
      <c r="BH116" s="228"/>
      <c r="BJ116" s="228"/>
      <c r="BL116" s="228"/>
      <c r="BN116" s="228"/>
      <c r="BP116" s="228"/>
      <c r="BR116" s="228"/>
      <c r="BT116" s="228"/>
      <c r="BV116" s="228"/>
      <c r="BX116" s="228"/>
      <c r="BZ116" s="228"/>
      <c r="CB116" s="228"/>
      <c r="CD116" s="228"/>
      <c r="CF116" s="228"/>
    </row>
    <row r="117" spans="4:84">
      <c r="D117" s="228"/>
      <c r="E117" s="228"/>
      <c r="F117" s="228"/>
      <c r="G117" s="159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  <c r="AE117" s="228"/>
      <c r="AF117" s="228"/>
      <c r="AG117" s="228"/>
      <c r="AH117" s="228"/>
      <c r="AI117" s="228"/>
      <c r="AJ117" s="228"/>
      <c r="AK117" s="228"/>
      <c r="AL117" s="228"/>
      <c r="AM117" s="228"/>
      <c r="AN117" s="228"/>
      <c r="AO117" s="228"/>
      <c r="AP117" s="228"/>
      <c r="AQ117" s="228"/>
      <c r="AR117" s="228"/>
      <c r="AS117" s="228"/>
      <c r="AT117" s="228"/>
      <c r="AV117" s="228"/>
      <c r="AX117" s="228"/>
      <c r="AZ117" s="228"/>
      <c r="BB117" s="228"/>
      <c r="BD117" s="228"/>
      <c r="BF117" s="228"/>
      <c r="BH117" s="228"/>
      <c r="BJ117" s="228"/>
      <c r="BL117" s="228"/>
      <c r="BN117" s="228"/>
      <c r="BP117" s="228"/>
      <c r="BR117" s="228"/>
      <c r="BT117" s="228"/>
      <c r="BV117" s="228"/>
      <c r="BX117" s="228"/>
      <c r="BZ117" s="228"/>
      <c r="CB117" s="228"/>
      <c r="CD117" s="228"/>
      <c r="CF117" s="228"/>
    </row>
    <row r="118" spans="4:84">
      <c r="D118" s="228"/>
      <c r="E118" s="228"/>
      <c r="F118" s="228"/>
      <c r="G118" s="159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  <c r="AE118" s="228"/>
      <c r="AF118" s="228"/>
      <c r="AG118" s="228"/>
      <c r="AH118" s="228"/>
      <c r="AI118" s="228"/>
      <c r="AJ118" s="228"/>
      <c r="AK118" s="228"/>
      <c r="AL118" s="228"/>
      <c r="AM118" s="228"/>
      <c r="AN118" s="228"/>
      <c r="AO118" s="228"/>
      <c r="AP118" s="228"/>
      <c r="AQ118" s="228"/>
      <c r="AR118" s="228"/>
      <c r="AS118" s="228"/>
      <c r="AT118" s="228"/>
      <c r="AV118" s="228"/>
      <c r="AX118" s="228"/>
      <c r="AZ118" s="228"/>
      <c r="BB118" s="228"/>
      <c r="BD118" s="228"/>
      <c r="BF118" s="228"/>
      <c r="BH118" s="228"/>
      <c r="BJ118" s="228"/>
      <c r="BL118" s="228"/>
      <c r="BN118" s="228"/>
      <c r="BP118" s="228"/>
      <c r="BR118" s="228"/>
      <c r="BT118" s="228"/>
      <c r="BV118" s="228"/>
      <c r="BX118" s="228"/>
      <c r="BZ118" s="228"/>
      <c r="CB118" s="228"/>
      <c r="CD118" s="228"/>
      <c r="CF118" s="228"/>
    </row>
    <row r="119" spans="4:84">
      <c r="D119" s="228"/>
      <c r="E119" s="228"/>
      <c r="F119" s="228"/>
      <c r="G119" s="159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  <c r="AE119" s="228"/>
      <c r="AF119" s="228"/>
      <c r="AG119" s="228"/>
      <c r="AH119" s="228"/>
      <c r="AI119" s="228"/>
      <c r="AJ119" s="228"/>
      <c r="AK119" s="228"/>
      <c r="AL119" s="228"/>
      <c r="AM119" s="228"/>
      <c r="AN119" s="228"/>
      <c r="AO119" s="228"/>
      <c r="AP119" s="228"/>
      <c r="AQ119" s="228"/>
      <c r="AR119" s="228"/>
      <c r="AS119" s="228"/>
      <c r="AT119" s="228"/>
      <c r="AV119" s="228"/>
      <c r="AX119" s="228"/>
      <c r="AZ119" s="228"/>
      <c r="BB119" s="228"/>
      <c r="BD119" s="228"/>
      <c r="BF119" s="228"/>
      <c r="BH119" s="228"/>
      <c r="BJ119" s="228"/>
      <c r="BL119" s="228"/>
      <c r="BN119" s="228"/>
      <c r="BP119" s="228"/>
      <c r="BR119" s="228"/>
      <c r="BT119" s="228"/>
      <c r="BV119" s="228"/>
      <c r="BX119" s="228"/>
      <c r="BZ119" s="228"/>
      <c r="CB119" s="228"/>
      <c r="CD119" s="228"/>
      <c r="CF119" s="228"/>
    </row>
    <row r="120" spans="4:84">
      <c r="D120" s="228"/>
      <c r="E120" s="228"/>
      <c r="F120" s="228"/>
      <c r="G120" s="159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  <c r="AE120" s="228"/>
      <c r="AF120" s="228"/>
      <c r="AG120" s="228"/>
      <c r="AH120" s="228"/>
      <c r="AI120" s="228"/>
      <c r="AJ120" s="228"/>
      <c r="AK120" s="228"/>
      <c r="AL120" s="228"/>
      <c r="AM120" s="228"/>
      <c r="AN120" s="228"/>
      <c r="AO120" s="228"/>
      <c r="AP120" s="228"/>
      <c r="AQ120" s="228"/>
      <c r="AR120" s="228"/>
      <c r="AS120" s="228"/>
      <c r="AT120" s="228"/>
      <c r="AV120" s="228"/>
      <c r="AX120" s="228"/>
      <c r="AZ120" s="228"/>
      <c r="BB120" s="228"/>
      <c r="BD120" s="228"/>
      <c r="BF120" s="228"/>
      <c r="BH120" s="228"/>
      <c r="BJ120" s="228"/>
      <c r="BL120" s="228"/>
      <c r="BN120" s="228"/>
      <c r="BP120" s="228"/>
      <c r="BR120" s="228"/>
      <c r="BT120" s="228"/>
      <c r="BV120" s="228"/>
      <c r="BX120" s="228"/>
      <c r="BZ120" s="228"/>
      <c r="CB120" s="228"/>
      <c r="CD120" s="228"/>
      <c r="CF120" s="228"/>
    </row>
    <row r="121" spans="4:84">
      <c r="D121" s="228"/>
      <c r="E121" s="228"/>
      <c r="F121" s="228"/>
      <c r="G121" s="159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  <c r="AE121" s="228"/>
      <c r="AF121" s="228"/>
      <c r="AG121" s="228"/>
      <c r="AH121" s="228"/>
      <c r="AI121" s="228"/>
      <c r="AJ121" s="228"/>
      <c r="AK121" s="228"/>
      <c r="AL121" s="228"/>
      <c r="AM121" s="228"/>
      <c r="AN121" s="228"/>
      <c r="AO121" s="228"/>
      <c r="AP121" s="228"/>
      <c r="AQ121" s="228"/>
      <c r="AR121" s="228"/>
      <c r="AS121" s="228"/>
      <c r="AT121" s="228"/>
      <c r="AV121" s="228"/>
      <c r="AX121" s="228"/>
      <c r="AZ121" s="228"/>
      <c r="BB121" s="228"/>
      <c r="BD121" s="228"/>
      <c r="BF121" s="228"/>
      <c r="BH121" s="228"/>
      <c r="BJ121" s="228"/>
      <c r="BL121" s="228"/>
      <c r="BN121" s="228"/>
      <c r="BP121" s="228"/>
      <c r="BR121" s="228"/>
      <c r="BT121" s="228"/>
      <c r="BV121" s="228"/>
      <c r="BX121" s="228"/>
      <c r="BZ121" s="228"/>
      <c r="CB121" s="228"/>
      <c r="CD121" s="228"/>
      <c r="CF121" s="228"/>
    </row>
    <row r="122" spans="4:84">
      <c r="D122" s="228"/>
      <c r="E122" s="228"/>
      <c r="F122" s="228"/>
      <c r="G122" s="159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  <c r="AG122" s="228"/>
      <c r="AH122" s="228"/>
      <c r="AI122" s="228"/>
      <c r="AJ122" s="228"/>
      <c r="AK122" s="228"/>
      <c r="AL122" s="228"/>
      <c r="AM122" s="228"/>
      <c r="AN122" s="228"/>
      <c r="AO122" s="228"/>
      <c r="AP122" s="228"/>
      <c r="AQ122" s="228"/>
      <c r="AR122" s="228"/>
      <c r="AS122" s="228"/>
      <c r="AT122" s="228"/>
      <c r="AV122" s="228"/>
      <c r="AX122" s="228"/>
      <c r="AZ122" s="228"/>
      <c r="BB122" s="228"/>
      <c r="BD122" s="228"/>
      <c r="BF122" s="228"/>
      <c r="BH122" s="228"/>
      <c r="BJ122" s="228"/>
      <c r="BL122" s="228"/>
      <c r="BN122" s="228"/>
      <c r="BP122" s="228"/>
      <c r="BR122" s="228"/>
      <c r="BT122" s="228"/>
      <c r="BV122" s="228"/>
      <c r="BX122" s="228"/>
      <c r="BZ122" s="228"/>
      <c r="CB122" s="228"/>
      <c r="CD122" s="228"/>
      <c r="CF122" s="228"/>
    </row>
    <row r="123" spans="4:84">
      <c r="D123" s="228"/>
      <c r="E123" s="228"/>
      <c r="F123" s="228"/>
      <c r="G123" s="159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  <c r="AE123" s="228"/>
      <c r="AF123" s="228"/>
      <c r="AG123" s="228"/>
      <c r="AH123" s="228"/>
      <c r="AI123" s="228"/>
      <c r="AJ123" s="228"/>
      <c r="AK123" s="228"/>
      <c r="AL123" s="228"/>
      <c r="AM123" s="228"/>
      <c r="AN123" s="228"/>
      <c r="AO123" s="228"/>
      <c r="AP123" s="228"/>
      <c r="AQ123" s="228"/>
      <c r="AR123" s="228"/>
      <c r="AS123" s="228"/>
      <c r="AT123" s="228"/>
      <c r="AV123" s="228"/>
      <c r="AX123" s="228"/>
      <c r="AZ123" s="228"/>
      <c r="BB123" s="228"/>
      <c r="BD123" s="228"/>
      <c r="BF123" s="228"/>
      <c r="BH123" s="228"/>
      <c r="BJ123" s="228"/>
      <c r="BL123" s="228"/>
      <c r="BN123" s="228"/>
      <c r="BP123" s="228"/>
      <c r="BR123" s="228"/>
      <c r="BT123" s="228"/>
      <c r="BV123" s="228"/>
      <c r="BX123" s="228"/>
      <c r="BZ123" s="228"/>
      <c r="CB123" s="228"/>
      <c r="CD123" s="228"/>
      <c r="CF123" s="228"/>
    </row>
    <row r="124" spans="4:84">
      <c r="D124" s="228"/>
      <c r="E124" s="228"/>
      <c r="F124" s="228"/>
      <c r="G124" s="159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  <c r="AE124" s="228"/>
      <c r="AF124" s="228"/>
      <c r="AG124" s="228"/>
      <c r="AH124" s="228"/>
      <c r="AI124" s="228"/>
      <c r="AJ124" s="228"/>
      <c r="AK124" s="228"/>
      <c r="AL124" s="228"/>
      <c r="AM124" s="228"/>
      <c r="AN124" s="228"/>
      <c r="AO124" s="228"/>
      <c r="AP124" s="228"/>
      <c r="AQ124" s="228"/>
      <c r="AR124" s="228"/>
      <c r="AS124" s="228"/>
      <c r="AT124" s="228"/>
      <c r="AV124" s="228"/>
      <c r="AX124" s="228"/>
      <c r="AZ124" s="228"/>
      <c r="BB124" s="228"/>
      <c r="BD124" s="228"/>
      <c r="BF124" s="228"/>
      <c r="BH124" s="228"/>
      <c r="BJ124" s="228"/>
      <c r="BL124" s="228"/>
      <c r="BN124" s="228"/>
      <c r="BP124" s="228"/>
      <c r="BR124" s="228"/>
      <c r="BT124" s="228"/>
      <c r="BV124" s="228"/>
      <c r="BX124" s="228"/>
      <c r="BZ124" s="228"/>
      <c r="CB124" s="228"/>
      <c r="CD124" s="228"/>
      <c r="CF124" s="228"/>
    </row>
    <row r="125" spans="4:84">
      <c r="D125" s="228"/>
      <c r="E125" s="228"/>
      <c r="F125" s="228"/>
      <c r="G125" s="159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  <c r="AE125" s="228"/>
      <c r="AF125" s="228"/>
      <c r="AG125" s="228"/>
      <c r="AH125" s="228"/>
      <c r="AI125" s="228"/>
      <c r="AJ125" s="228"/>
      <c r="AK125" s="228"/>
      <c r="AL125" s="228"/>
      <c r="AM125" s="228"/>
      <c r="AN125" s="228"/>
      <c r="AO125" s="228"/>
      <c r="AP125" s="228"/>
      <c r="AQ125" s="228"/>
      <c r="AR125" s="228"/>
      <c r="AS125" s="228"/>
      <c r="AT125" s="228"/>
      <c r="AV125" s="228"/>
      <c r="AX125" s="228"/>
      <c r="AZ125" s="228"/>
      <c r="BB125" s="228"/>
      <c r="BD125" s="228"/>
      <c r="BF125" s="228"/>
      <c r="BH125" s="228"/>
      <c r="BJ125" s="228"/>
      <c r="BL125" s="228"/>
      <c r="BN125" s="228"/>
      <c r="BP125" s="228"/>
      <c r="BR125" s="228"/>
      <c r="BT125" s="228"/>
      <c r="BV125" s="228"/>
      <c r="BX125" s="228"/>
      <c r="BZ125" s="228"/>
      <c r="CB125" s="228"/>
      <c r="CD125" s="228"/>
      <c r="CF125" s="228"/>
    </row>
    <row r="126" spans="4:84">
      <c r="D126" s="228"/>
      <c r="E126" s="228"/>
      <c r="F126" s="228"/>
      <c r="G126" s="159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  <c r="AE126" s="228"/>
      <c r="AF126" s="228"/>
      <c r="AG126" s="228"/>
      <c r="AH126" s="228"/>
      <c r="AI126" s="228"/>
      <c r="AJ126" s="228"/>
      <c r="AK126" s="228"/>
      <c r="AL126" s="228"/>
      <c r="AM126" s="228"/>
      <c r="AN126" s="228"/>
      <c r="AO126" s="228"/>
      <c r="AP126" s="228"/>
      <c r="AQ126" s="228"/>
      <c r="AR126" s="228"/>
      <c r="AS126" s="228"/>
      <c r="AT126" s="228"/>
      <c r="AV126" s="228"/>
      <c r="AX126" s="228"/>
      <c r="AZ126" s="228"/>
      <c r="BB126" s="228"/>
      <c r="BD126" s="228"/>
      <c r="BF126" s="228"/>
      <c r="BH126" s="228"/>
      <c r="BJ126" s="228"/>
      <c r="BL126" s="228"/>
      <c r="BN126" s="228"/>
      <c r="BP126" s="228"/>
      <c r="BR126" s="228"/>
      <c r="BT126" s="228"/>
      <c r="BV126" s="228"/>
      <c r="BX126" s="228"/>
      <c r="BZ126" s="228"/>
      <c r="CB126" s="228"/>
      <c r="CD126" s="228"/>
      <c r="CF126" s="228"/>
    </row>
    <row r="127" spans="4:84">
      <c r="D127" s="228"/>
      <c r="E127" s="228"/>
      <c r="F127" s="228"/>
      <c r="G127" s="159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  <c r="AE127" s="228"/>
      <c r="AF127" s="228"/>
      <c r="AG127" s="228"/>
      <c r="AH127" s="228"/>
      <c r="AI127" s="228"/>
      <c r="AJ127" s="228"/>
      <c r="AK127" s="228"/>
      <c r="AL127" s="228"/>
      <c r="AM127" s="228"/>
      <c r="AN127" s="228"/>
      <c r="AO127" s="228"/>
      <c r="AP127" s="228"/>
      <c r="AQ127" s="228"/>
      <c r="AR127" s="228"/>
      <c r="AS127" s="228"/>
      <c r="AT127" s="228"/>
      <c r="AV127" s="228"/>
      <c r="AX127" s="228"/>
      <c r="AZ127" s="228"/>
      <c r="BB127" s="228"/>
      <c r="BD127" s="228"/>
      <c r="BF127" s="228"/>
      <c r="BH127" s="228"/>
      <c r="BJ127" s="228"/>
      <c r="BL127" s="228"/>
      <c r="BN127" s="228"/>
      <c r="BP127" s="228"/>
      <c r="BR127" s="228"/>
      <c r="BT127" s="228"/>
      <c r="BV127" s="228"/>
      <c r="BX127" s="228"/>
      <c r="BZ127" s="228"/>
      <c r="CB127" s="228"/>
      <c r="CD127" s="228"/>
      <c r="CF127" s="228"/>
    </row>
    <row r="128" spans="4:84">
      <c r="D128" s="228"/>
      <c r="E128" s="228"/>
      <c r="F128" s="228"/>
      <c r="G128" s="159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  <c r="AE128" s="228"/>
      <c r="AF128" s="228"/>
      <c r="AG128" s="228"/>
      <c r="AH128" s="228"/>
      <c r="AI128" s="228"/>
      <c r="AJ128" s="228"/>
      <c r="AK128" s="2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V128" s="228"/>
      <c r="AX128" s="228"/>
      <c r="AZ128" s="228"/>
      <c r="BB128" s="228"/>
      <c r="BD128" s="228"/>
      <c r="BF128" s="228"/>
      <c r="BH128" s="228"/>
      <c r="BJ128" s="228"/>
      <c r="BL128" s="228"/>
      <c r="BN128" s="228"/>
      <c r="BP128" s="228"/>
      <c r="BR128" s="228"/>
      <c r="BT128" s="228"/>
      <c r="BV128" s="228"/>
      <c r="BX128" s="228"/>
      <c r="BZ128" s="228"/>
      <c r="CB128" s="228"/>
      <c r="CD128" s="228"/>
      <c r="CF128" s="228"/>
    </row>
    <row r="129" spans="4:84">
      <c r="D129" s="228"/>
      <c r="E129" s="228"/>
      <c r="F129" s="228"/>
      <c r="G129" s="159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  <c r="AE129" s="228"/>
      <c r="AF129" s="228"/>
      <c r="AG129" s="228"/>
      <c r="AH129" s="228"/>
      <c r="AI129" s="228"/>
      <c r="AJ129" s="228"/>
      <c r="AK129" s="228"/>
      <c r="AL129" s="228"/>
      <c r="AM129" s="228"/>
      <c r="AN129" s="228"/>
      <c r="AO129" s="228"/>
      <c r="AP129" s="228"/>
      <c r="AQ129" s="228"/>
      <c r="AR129" s="228"/>
      <c r="AS129" s="228"/>
      <c r="AT129" s="228"/>
      <c r="AV129" s="228"/>
      <c r="AX129" s="228"/>
      <c r="AZ129" s="228"/>
      <c r="BB129" s="228"/>
      <c r="BD129" s="228"/>
      <c r="BF129" s="228"/>
      <c r="BH129" s="228"/>
      <c r="BJ129" s="228"/>
      <c r="BL129" s="228"/>
      <c r="BN129" s="228"/>
      <c r="BP129" s="228"/>
      <c r="BR129" s="228"/>
      <c r="BT129" s="228"/>
      <c r="BV129" s="228"/>
      <c r="BX129" s="228"/>
      <c r="BZ129" s="228"/>
      <c r="CB129" s="228"/>
      <c r="CD129" s="228"/>
      <c r="CF129" s="228"/>
    </row>
    <row r="130" spans="4:84">
      <c r="D130" s="228"/>
      <c r="E130" s="228"/>
      <c r="F130" s="228"/>
      <c r="G130" s="159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  <c r="AE130" s="228"/>
      <c r="AF130" s="228"/>
      <c r="AG130" s="228"/>
      <c r="AH130" s="228"/>
      <c r="AI130" s="228"/>
      <c r="AJ130" s="228"/>
      <c r="AK130" s="228"/>
      <c r="AL130" s="228"/>
      <c r="AM130" s="228"/>
      <c r="AN130" s="228"/>
      <c r="AO130" s="228"/>
      <c r="AP130" s="228"/>
      <c r="AQ130" s="228"/>
      <c r="AR130" s="228"/>
      <c r="AS130" s="228"/>
      <c r="AT130" s="228"/>
      <c r="AV130" s="228"/>
      <c r="AX130" s="228"/>
      <c r="AZ130" s="228"/>
      <c r="BB130" s="228"/>
      <c r="BD130" s="228"/>
      <c r="BF130" s="228"/>
      <c r="BH130" s="228"/>
      <c r="BJ130" s="228"/>
      <c r="BL130" s="228"/>
      <c r="BN130" s="228"/>
      <c r="BP130" s="228"/>
      <c r="BR130" s="228"/>
      <c r="BT130" s="228"/>
      <c r="BV130" s="228"/>
      <c r="BX130" s="228"/>
      <c r="BZ130" s="228"/>
      <c r="CB130" s="228"/>
      <c r="CD130" s="228"/>
      <c r="CF130" s="228"/>
    </row>
    <row r="131" spans="4:84">
      <c r="D131" s="228"/>
      <c r="E131" s="228"/>
      <c r="F131" s="228"/>
      <c r="G131" s="159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  <c r="AE131" s="228"/>
      <c r="AF131" s="228"/>
      <c r="AG131" s="228"/>
      <c r="AH131" s="228"/>
      <c r="AI131" s="228"/>
      <c r="AJ131" s="228"/>
      <c r="AK131" s="228"/>
      <c r="AL131" s="228"/>
      <c r="AM131" s="228"/>
      <c r="AN131" s="228"/>
      <c r="AO131" s="228"/>
      <c r="AP131" s="228"/>
      <c r="AQ131" s="228"/>
      <c r="AR131" s="228"/>
      <c r="AS131" s="228"/>
      <c r="AT131" s="228"/>
      <c r="AV131" s="228"/>
      <c r="AX131" s="228"/>
      <c r="AZ131" s="228"/>
      <c r="BB131" s="228"/>
      <c r="BD131" s="228"/>
      <c r="BF131" s="228"/>
      <c r="BH131" s="228"/>
      <c r="BJ131" s="228"/>
      <c r="BL131" s="228"/>
      <c r="BN131" s="228"/>
      <c r="BP131" s="228"/>
      <c r="BR131" s="228"/>
      <c r="BT131" s="228"/>
      <c r="BV131" s="228"/>
      <c r="BX131" s="228"/>
      <c r="BZ131" s="228"/>
      <c r="CB131" s="228"/>
      <c r="CD131" s="228"/>
      <c r="CF131" s="228"/>
    </row>
    <row r="132" spans="4:84">
      <c r="D132" s="228"/>
      <c r="E132" s="228"/>
      <c r="F132" s="228"/>
      <c r="G132" s="159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  <c r="AE132" s="228"/>
      <c r="AF132" s="228"/>
      <c r="AG132" s="228"/>
      <c r="AH132" s="228"/>
      <c r="AI132" s="228"/>
      <c r="AJ132" s="228"/>
      <c r="AK132" s="228"/>
      <c r="AL132" s="228"/>
      <c r="AM132" s="228"/>
      <c r="AN132" s="228"/>
      <c r="AO132" s="228"/>
      <c r="AP132" s="228"/>
      <c r="AQ132" s="228"/>
      <c r="AR132" s="228"/>
      <c r="AS132" s="228"/>
      <c r="AT132" s="228"/>
      <c r="AV132" s="228"/>
      <c r="AX132" s="228"/>
      <c r="AZ132" s="228"/>
      <c r="BB132" s="228"/>
      <c r="BD132" s="228"/>
      <c r="BF132" s="228"/>
      <c r="BH132" s="228"/>
      <c r="BJ132" s="228"/>
      <c r="BL132" s="228"/>
      <c r="BN132" s="228"/>
      <c r="BP132" s="228"/>
      <c r="BR132" s="228"/>
      <c r="BT132" s="228"/>
      <c r="BV132" s="228"/>
      <c r="BX132" s="228"/>
      <c r="BZ132" s="228"/>
      <c r="CB132" s="228"/>
      <c r="CD132" s="228"/>
      <c r="CF132" s="228"/>
    </row>
    <row r="133" spans="4:84">
      <c r="D133" s="228"/>
      <c r="E133" s="228"/>
      <c r="F133" s="228"/>
      <c r="G133" s="159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  <c r="AE133" s="228"/>
      <c r="AF133" s="228"/>
      <c r="AG133" s="228"/>
      <c r="AH133" s="228"/>
      <c r="AI133" s="228"/>
      <c r="AJ133" s="228"/>
      <c r="AK133" s="228"/>
      <c r="AL133" s="228"/>
      <c r="AM133" s="228"/>
      <c r="AN133" s="228"/>
      <c r="AO133" s="228"/>
      <c r="AP133" s="228"/>
      <c r="AQ133" s="228"/>
      <c r="AR133" s="228"/>
      <c r="AS133" s="228"/>
      <c r="AT133" s="228"/>
      <c r="AV133" s="228"/>
      <c r="AX133" s="228"/>
      <c r="AZ133" s="228"/>
      <c r="BB133" s="228"/>
      <c r="BD133" s="228"/>
      <c r="BF133" s="228"/>
      <c r="BH133" s="228"/>
      <c r="BJ133" s="228"/>
      <c r="BL133" s="228"/>
      <c r="BN133" s="228"/>
      <c r="BP133" s="228"/>
      <c r="BR133" s="228"/>
      <c r="BT133" s="228"/>
      <c r="BV133" s="228"/>
      <c r="BX133" s="228"/>
      <c r="BZ133" s="228"/>
      <c r="CB133" s="228"/>
      <c r="CD133" s="228"/>
      <c r="CF133" s="228"/>
    </row>
    <row r="134" spans="4:84">
      <c r="D134" s="228"/>
      <c r="E134" s="228"/>
      <c r="F134" s="228"/>
      <c r="G134" s="159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  <c r="AE134" s="228"/>
      <c r="AF134" s="228"/>
      <c r="AG134" s="228"/>
      <c r="AH134" s="228"/>
      <c r="AI134" s="228"/>
      <c r="AJ134" s="228"/>
      <c r="AK134" s="228"/>
      <c r="AL134" s="228"/>
      <c r="AM134" s="228"/>
      <c r="AN134" s="228"/>
      <c r="AO134" s="228"/>
      <c r="AP134" s="228"/>
      <c r="AQ134" s="228"/>
      <c r="AR134" s="228"/>
      <c r="AS134" s="228"/>
      <c r="AT134" s="228"/>
      <c r="AV134" s="228"/>
      <c r="AX134" s="228"/>
      <c r="AZ134" s="228"/>
      <c r="BB134" s="228"/>
      <c r="BD134" s="228"/>
      <c r="BF134" s="228"/>
      <c r="BH134" s="228"/>
      <c r="BJ134" s="228"/>
      <c r="BL134" s="228"/>
      <c r="BN134" s="228"/>
      <c r="BP134" s="228"/>
      <c r="BR134" s="228"/>
      <c r="BT134" s="228"/>
      <c r="BV134" s="228"/>
      <c r="BX134" s="228"/>
      <c r="BZ134" s="228"/>
      <c r="CB134" s="228"/>
      <c r="CD134" s="228"/>
      <c r="CF134" s="228"/>
    </row>
    <row r="135" spans="4:84">
      <c r="D135" s="228"/>
      <c r="E135" s="228"/>
      <c r="F135" s="228"/>
      <c r="G135" s="159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  <c r="AG135" s="228"/>
      <c r="AH135" s="228"/>
      <c r="AI135" s="228"/>
      <c r="AJ135" s="228"/>
      <c r="AK135" s="228"/>
      <c r="AL135" s="228"/>
      <c r="AM135" s="228"/>
      <c r="AN135" s="228"/>
      <c r="AO135" s="228"/>
      <c r="AP135" s="228"/>
      <c r="AQ135" s="228"/>
      <c r="AR135" s="228"/>
      <c r="AS135" s="228"/>
      <c r="AT135" s="228"/>
      <c r="AV135" s="228"/>
      <c r="AX135" s="228"/>
      <c r="AZ135" s="228"/>
      <c r="BB135" s="228"/>
      <c r="BD135" s="228"/>
      <c r="BF135" s="228"/>
      <c r="BH135" s="228"/>
      <c r="BJ135" s="228"/>
      <c r="BL135" s="228"/>
      <c r="BN135" s="228"/>
      <c r="BP135" s="228"/>
      <c r="BR135" s="228"/>
      <c r="BT135" s="228"/>
      <c r="BV135" s="228"/>
      <c r="BX135" s="228"/>
      <c r="BZ135" s="228"/>
      <c r="CB135" s="228"/>
      <c r="CD135" s="228"/>
      <c r="CF135" s="228"/>
    </row>
    <row r="136" spans="4:84">
      <c r="D136" s="228"/>
      <c r="E136" s="228"/>
      <c r="F136" s="228"/>
      <c r="G136" s="159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28"/>
      <c r="AT136" s="228"/>
      <c r="AV136" s="228"/>
      <c r="AX136" s="228"/>
      <c r="AZ136" s="228"/>
      <c r="BB136" s="228"/>
      <c r="BD136" s="228"/>
      <c r="BF136" s="228"/>
      <c r="BH136" s="228"/>
      <c r="BJ136" s="228"/>
      <c r="BL136" s="228"/>
      <c r="BN136" s="228"/>
      <c r="BP136" s="228"/>
      <c r="BR136" s="228"/>
      <c r="BT136" s="228"/>
      <c r="BV136" s="228"/>
      <c r="BX136" s="228"/>
      <c r="BZ136" s="228"/>
      <c r="CB136" s="228"/>
      <c r="CD136" s="228"/>
      <c r="CF136" s="228"/>
    </row>
    <row r="137" spans="4:84">
      <c r="D137" s="228"/>
      <c r="E137" s="228"/>
      <c r="F137" s="228"/>
      <c r="G137" s="159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  <c r="AG137" s="228"/>
      <c r="AH137" s="228"/>
      <c r="AI137" s="228"/>
      <c r="AJ137" s="228"/>
      <c r="AK137" s="228"/>
      <c r="AL137" s="228"/>
      <c r="AM137" s="228"/>
      <c r="AN137" s="228"/>
      <c r="AO137" s="228"/>
      <c r="AP137" s="228"/>
      <c r="AQ137" s="228"/>
      <c r="AR137" s="228"/>
      <c r="AS137" s="228"/>
      <c r="AT137" s="228"/>
      <c r="AV137" s="228"/>
      <c r="AX137" s="228"/>
      <c r="AZ137" s="228"/>
      <c r="BB137" s="228"/>
      <c r="BD137" s="228"/>
      <c r="BF137" s="228"/>
      <c r="BH137" s="228"/>
      <c r="BJ137" s="228"/>
      <c r="BL137" s="228"/>
      <c r="BN137" s="228"/>
      <c r="BP137" s="228"/>
      <c r="BR137" s="228"/>
      <c r="BT137" s="228"/>
      <c r="BV137" s="228"/>
      <c r="BX137" s="228"/>
      <c r="BZ137" s="228"/>
      <c r="CB137" s="228"/>
      <c r="CD137" s="228"/>
      <c r="CF137" s="228"/>
    </row>
    <row r="138" spans="4:84">
      <c r="D138" s="228"/>
      <c r="E138" s="228"/>
      <c r="F138" s="228"/>
      <c r="G138" s="159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  <c r="AG138" s="228"/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228"/>
      <c r="AT138" s="228"/>
      <c r="AV138" s="228"/>
      <c r="AX138" s="228"/>
      <c r="AZ138" s="228"/>
      <c r="BB138" s="228"/>
      <c r="BD138" s="228"/>
      <c r="BF138" s="228"/>
      <c r="BH138" s="228"/>
      <c r="BJ138" s="228"/>
      <c r="BL138" s="228"/>
      <c r="BN138" s="228"/>
      <c r="BP138" s="228"/>
      <c r="BR138" s="228"/>
      <c r="BT138" s="228"/>
      <c r="BV138" s="228"/>
      <c r="BX138" s="228"/>
      <c r="BZ138" s="228"/>
      <c r="CB138" s="228"/>
      <c r="CD138" s="228"/>
      <c r="CF138" s="228"/>
    </row>
    <row r="139" spans="4:84">
      <c r="D139" s="228"/>
      <c r="E139" s="228"/>
      <c r="F139" s="228"/>
      <c r="G139" s="159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  <c r="AG139" s="228"/>
      <c r="AH139" s="228"/>
      <c r="AI139" s="228"/>
      <c r="AJ139" s="228"/>
      <c r="AK139" s="228"/>
      <c r="AL139" s="228"/>
      <c r="AM139" s="228"/>
      <c r="AN139" s="228"/>
      <c r="AO139" s="228"/>
      <c r="AP139" s="228"/>
      <c r="AQ139" s="228"/>
      <c r="AR139" s="228"/>
      <c r="AS139" s="228"/>
      <c r="AT139" s="228"/>
      <c r="AV139" s="228"/>
      <c r="AX139" s="228"/>
      <c r="AZ139" s="228"/>
      <c r="BB139" s="228"/>
      <c r="BD139" s="228"/>
      <c r="BF139" s="228"/>
      <c r="BH139" s="228"/>
      <c r="BJ139" s="228"/>
      <c r="BL139" s="228"/>
      <c r="BN139" s="228"/>
      <c r="BP139" s="228"/>
      <c r="BR139" s="228"/>
      <c r="BT139" s="228"/>
      <c r="BV139" s="228"/>
      <c r="BX139" s="228"/>
      <c r="BZ139" s="228"/>
      <c r="CB139" s="228"/>
      <c r="CD139" s="228"/>
      <c r="CF139" s="228"/>
    </row>
    <row r="140" spans="4:84">
      <c r="D140" s="228"/>
      <c r="E140" s="228"/>
      <c r="F140" s="228"/>
      <c r="G140" s="159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  <c r="AE140" s="228"/>
      <c r="AF140" s="228"/>
      <c r="AG140" s="228"/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228"/>
      <c r="AT140" s="228"/>
      <c r="AV140" s="228"/>
      <c r="AX140" s="228"/>
      <c r="AZ140" s="228"/>
      <c r="BB140" s="228"/>
      <c r="BD140" s="228"/>
      <c r="BF140" s="228"/>
      <c r="BH140" s="228"/>
      <c r="BJ140" s="228"/>
      <c r="BL140" s="228"/>
      <c r="BN140" s="228"/>
      <c r="BP140" s="228"/>
      <c r="BR140" s="228"/>
      <c r="BT140" s="228"/>
      <c r="BV140" s="228"/>
      <c r="BX140" s="228"/>
      <c r="BZ140" s="228"/>
      <c r="CB140" s="228"/>
      <c r="CD140" s="228"/>
      <c r="CF140" s="228"/>
    </row>
    <row r="141" spans="4:84">
      <c r="D141" s="228"/>
      <c r="E141" s="228"/>
      <c r="F141" s="228"/>
      <c r="G141" s="159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  <c r="AE141" s="228"/>
      <c r="AF141" s="228"/>
      <c r="AG141" s="228"/>
      <c r="AH141" s="228"/>
      <c r="AI141" s="228"/>
      <c r="AJ141" s="228"/>
      <c r="AK141" s="228"/>
      <c r="AL141" s="228"/>
      <c r="AM141" s="228"/>
      <c r="AN141" s="228"/>
      <c r="AO141" s="228"/>
      <c r="AP141" s="228"/>
      <c r="AQ141" s="228"/>
      <c r="AR141" s="228"/>
      <c r="AS141" s="228"/>
      <c r="AT141" s="228"/>
      <c r="AV141" s="228"/>
      <c r="AX141" s="228"/>
      <c r="AZ141" s="228"/>
      <c r="BB141" s="228"/>
      <c r="BD141" s="228"/>
      <c r="BF141" s="228"/>
      <c r="BH141" s="228"/>
      <c r="BJ141" s="228"/>
      <c r="BL141" s="228"/>
      <c r="BN141" s="228"/>
      <c r="BP141" s="228"/>
      <c r="BR141" s="228"/>
      <c r="BT141" s="228"/>
      <c r="BV141" s="228"/>
      <c r="BX141" s="228"/>
      <c r="BZ141" s="228"/>
      <c r="CB141" s="228"/>
      <c r="CD141" s="228"/>
      <c r="CF141" s="228"/>
    </row>
    <row r="142" spans="4:84">
      <c r="D142" s="228"/>
      <c r="E142" s="228"/>
      <c r="F142" s="228"/>
      <c r="G142" s="159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  <c r="AE142" s="228"/>
      <c r="AF142" s="228"/>
      <c r="AG142" s="228"/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228"/>
      <c r="AT142" s="228"/>
      <c r="AV142" s="228"/>
      <c r="AX142" s="228"/>
      <c r="AZ142" s="228"/>
      <c r="BB142" s="228"/>
      <c r="BD142" s="228"/>
      <c r="BF142" s="228"/>
      <c r="BH142" s="228"/>
      <c r="BJ142" s="228"/>
      <c r="BL142" s="228"/>
      <c r="BN142" s="228"/>
      <c r="BP142" s="228"/>
      <c r="BR142" s="228"/>
      <c r="BT142" s="228"/>
      <c r="BV142" s="228"/>
      <c r="BX142" s="228"/>
      <c r="BZ142" s="228"/>
      <c r="CB142" s="228"/>
      <c r="CD142" s="228"/>
      <c r="CF142" s="228"/>
    </row>
    <row r="143" spans="4:84">
      <c r="D143" s="228"/>
      <c r="E143" s="228"/>
      <c r="F143" s="228"/>
      <c r="G143" s="159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  <c r="AE143" s="228"/>
      <c r="AF143" s="228"/>
      <c r="AG143" s="228"/>
      <c r="AH143" s="228"/>
      <c r="AI143" s="228"/>
      <c r="AJ143" s="228"/>
      <c r="AK143" s="228"/>
      <c r="AL143" s="228"/>
      <c r="AM143" s="228"/>
      <c r="AN143" s="228"/>
      <c r="AO143" s="228"/>
      <c r="AP143" s="228"/>
      <c r="AQ143" s="228"/>
      <c r="AR143" s="228"/>
      <c r="AS143" s="228"/>
      <c r="AT143" s="228"/>
      <c r="AV143" s="228"/>
      <c r="AX143" s="228"/>
      <c r="AZ143" s="228"/>
      <c r="BB143" s="228"/>
      <c r="BD143" s="228"/>
      <c r="BF143" s="228"/>
      <c r="BH143" s="228"/>
      <c r="BJ143" s="228"/>
      <c r="BL143" s="228"/>
      <c r="BN143" s="228"/>
      <c r="BP143" s="228"/>
      <c r="BR143" s="228"/>
      <c r="BT143" s="228"/>
      <c r="BV143" s="228"/>
      <c r="BX143" s="228"/>
      <c r="BZ143" s="228"/>
      <c r="CB143" s="228"/>
      <c r="CD143" s="228"/>
      <c r="CF143" s="228"/>
    </row>
    <row r="144" spans="4:84">
      <c r="D144" s="228"/>
      <c r="E144" s="228"/>
      <c r="F144" s="228"/>
      <c r="G144" s="159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  <c r="AG144" s="228"/>
      <c r="AH144" s="228"/>
      <c r="AI144" s="228"/>
      <c r="AJ144" s="228"/>
      <c r="AK144" s="228"/>
      <c r="AL144" s="228"/>
      <c r="AM144" s="228"/>
      <c r="AN144" s="228"/>
      <c r="AO144" s="228"/>
      <c r="AP144" s="228"/>
      <c r="AQ144" s="228"/>
      <c r="AR144" s="228"/>
      <c r="AS144" s="228"/>
      <c r="AT144" s="228"/>
      <c r="AV144" s="228"/>
      <c r="AX144" s="228"/>
      <c r="AZ144" s="228"/>
      <c r="BB144" s="228"/>
      <c r="BD144" s="228"/>
      <c r="BF144" s="228"/>
      <c r="BH144" s="228"/>
      <c r="BJ144" s="228"/>
      <c r="BL144" s="228"/>
      <c r="BN144" s="228"/>
      <c r="BP144" s="228"/>
      <c r="BR144" s="228"/>
      <c r="BT144" s="228"/>
      <c r="BV144" s="228"/>
      <c r="BX144" s="228"/>
      <c r="BZ144" s="228"/>
      <c r="CB144" s="228"/>
      <c r="CD144" s="228"/>
      <c r="CF144" s="228"/>
    </row>
    <row r="145" spans="4:84">
      <c r="D145" s="228"/>
      <c r="E145" s="228"/>
      <c r="F145" s="228"/>
      <c r="G145" s="159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  <c r="AE145" s="228"/>
      <c r="AF145" s="228"/>
      <c r="AG145" s="228"/>
      <c r="AH145" s="228"/>
      <c r="AI145" s="228"/>
      <c r="AJ145" s="228"/>
      <c r="AK145" s="228"/>
      <c r="AL145" s="228"/>
      <c r="AM145" s="228"/>
      <c r="AN145" s="228"/>
      <c r="AO145" s="228"/>
      <c r="AP145" s="228"/>
      <c r="AQ145" s="228"/>
      <c r="AR145" s="228"/>
      <c r="AS145" s="228"/>
      <c r="AT145" s="228"/>
      <c r="AV145" s="228"/>
      <c r="AX145" s="228"/>
      <c r="AZ145" s="228"/>
      <c r="BB145" s="228"/>
      <c r="BD145" s="228"/>
      <c r="BF145" s="228"/>
      <c r="BH145" s="228"/>
      <c r="BJ145" s="228"/>
      <c r="BL145" s="228"/>
      <c r="BN145" s="228"/>
      <c r="BP145" s="228"/>
      <c r="BR145" s="228"/>
      <c r="BT145" s="228"/>
      <c r="BV145" s="228"/>
      <c r="BX145" s="228"/>
      <c r="BZ145" s="228"/>
      <c r="CB145" s="228"/>
      <c r="CD145" s="228"/>
      <c r="CF145" s="228"/>
    </row>
    <row r="146" spans="4:84">
      <c r="D146" s="228"/>
      <c r="E146" s="228"/>
      <c r="F146" s="228"/>
      <c r="G146" s="159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  <c r="AE146" s="228"/>
      <c r="AF146" s="228"/>
      <c r="AG146" s="228"/>
      <c r="AH146" s="228"/>
      <c r="AI146" s="228"/>
      <c r="AJ146" s="228"/>
      <c r="AK146" s="228"/>
      <c r="AL146" s="228"/>
      <c r="AM146" s="228"/>
      <c r="AN146" s="228"/>
      <c r="AO146" s="228"/>
      <c r="AP146" s="228"/>
      <c r="AQ146" s="228"/>
      <c r="AR146" s="228"/>
      <c r="AS146" s="228"/>
      <c r="AT146" s="228"/>
      <c r="AV146" s="228"/>
      <c r="AX146" s="228"/>
      <c r="AZ146" s="228"/>
      <c r="BB146" s="228"/>
      <c r="BD146" s="228"/>
      <c r="BF146" s="228"/>
      <c r="BH146" s="228"/>
      <c r="BJ146" s="228"/>
      <c r="BL146" s="228"/>
      <c r="BN146" s="228"/>
      <c r="BP146" s="228"/>
      <c r="BR146" s="228"/>
      <c r="BT146" s="228"/>
      <c r="BV146" s="228"/>
      <c r="BX146" s="228"/>
      <c r="BZ146" s="228"/>
      <c r="CB146" s="228"/>
      <c r="CD146" s="228"/>
      <c r="CF146" s="228"/>
    </row>
    <row r="147" spans="4:84">
      <c r="D147" s="228"/>
      <c r="E147" s="228"/>
      <c r="F147" s="228"/>
      <c r="G147" s="159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228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228"/>
      <c r="AT147" s="228"/>
      <c r="AV147" s="228"/>
      <c r="AX147" s="228"/>
      <c r="AZ147" s="228"/>
      <c r="BB147" s="228"/>
      <c r="BD147" s="228"/>
      <c r="BF147" s="228"/>
      <c r="BH147" s="228"/>
      <c r="BJ147" s="228"/>
      <c r="BL147" s="228"/>
      <c r="BN147" s="228"/>
      <c r="BP147" s="228"/>
      <c r="BR147" s="228"/>
      <c r="BT147" s="228"/>
      <c r="BV147" s="228"/>
      <c r="BX147" s="228"/>
      <c r="BZ147" s="228"/>
      <c r="CB147" s="228"/>
      <c r="CD147" s="228"/>
      <c r="CF147" s="228"/>
    </row>
    <row r="148" spans="4:84">
      <c r="D148" s="228"/>
      <c r="E148" s="228"/>
      <c r="F148" s="228"/>
      <c r="G148" s="159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  <c r="AE148" s="228"/>
      <c r="AF148" s="228"/>
      <c r="AG148" s="228"/>
      <c r="AH148" s="228"/>
      <c r="AI148" s="228"/>
      <c r="AJ148" s="228"/>
      <c r="AK148" s="228"/>
      <c r="AL148" s="228"/>
      <c r="AM148" s="228"/>
      <c r="AN148" s="228"/>
      <c r="AO148" s="228"/>
      <c r="AP148" s="228"/>
      <c r="AQ148" s="228"/>
      <c r="AR148" s="228"/>
      <c r="AS148" s="228"/>
      <c r="AT148" s="228"/>
      <c r="AV148" s="228"/>
      <c r="AX148" s="228"/>
      <c r="AZ148" s="228"/>
      <c r="BB148" s="228"/>
      <c r="BD148" s="228"/>
      <c r="BF148" s="228"/>
      <c r="BH148" s="228"/>
      <c r="BJ148" s="228"/>
      <c r="BL148" s="228"/>
      <c r="BN148" s="228"/>
      <c r="BP148" s="228"/>
      <c r="BR148" s="228"/>
      <c r="BT148" s="228"/>
      <c r="BV148" s="228"/>
      <c r="BX148" s="228"/>
      <c r="BZ148" s="228"/>
      <c r="CB148" s="228"/>
      <c r="CD148" s="228"/>
      <c r="CF148" s="228"/>
    </row>
    <row r="149" spans="4:84">
      <c r="D149" s="228"/>
      <c r="E149" s="228"/>
      <c r="F149" s="228"/>
      <c r="G149" s="159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  <c r="AE149" s="228"/>
      <c r="AF149" s="228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228"/>
      <c r="AT149" s="228"/>
      <c r="AV149" s="228"/>
      <c r="AX149" s="228"/>
      <c r="AZ149" s="228"/>
      <c r="BB149" s="228"/>
      <c r="BD149" s="228"/>
      <c r="BF149" s="228"/>
      <c r="BH149" s="228"/>
      <c r="BJ149" s="228"/>
      <c r="BL149" s="228"/>
      <c r="BN149" s="228"/>
      <c r="BP149" s="228"/>
      <c r="BR149" s="228"/>
      <c r="BT149" s="228"/>
      <c r="BV149" s="228"/>
      <c r="BX149" s="228"/>
      <c r="BZ149" s="228"/>
      <c r="CB149" s="228"/>
      <c r="CD149" s="228"/>
      <c r="CF149" s="228"/>
    </row>
    <row r="150" spans="4:84">
      <c r="D150" s="228"/>
      <c r="E150" s="228"/>
      <c r="F150" s="228"/>
      <c r="G150" s="159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  <c r="AG150" s="228"/>
      <c r="AH150" s="228"/>
      <c r="AI150" s="228"/>
      <c r="AJ150" s="228"/>
      <c r="AK150" s="228"/>
      <c r="AL150" s="228"/>
      <c r="AM150" s="228"/>
      <c r="AN150" s="228"/>
      <c r="AO150" s="228"/>
      <c r="AP150" s="228"/>
      <c r="AQ150" s="228"/>
      <c r="AR150" s="228"/>
      <c r="AS150" s="228"/>
      <c r="AT150" s="228"/>
      <c r="AV150" s="228"/>
      <c r="AX150" s="228"/>
      <c r="AZ150" s="228"/>
      <c r="BB150" s="228"/>
      <c r="BD150" s="228"/>
      <c r="BF150" s="228"/>
      <c r="BH150" s="228"/>
      <c r="BJ150" s="228"/>
      <c r="BL150" s="228"/>
      <c r="BN150" s="228"/>
      <c r="BP150" s="228"/>
      <c r="BR150" s="228"/>
      <c r="BT150" s="228"/>
      <c r="BV150" s="228"/>
      <c r="BX150" s="228"/>
      <c r="BZ150" s="228"/>
      <c r="CB150" s="228"/>
      <c r="CD150" s="228"/>
      <c r="CF150" s="228"/>
    </row>
    <row r="151" spans="4:84">
      <c r="D151" s="228"/>
      <c r="E151" s="228"/>
      <c r="F151" s="228"/>
      <c r="G151" s="159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  <c r="AE151" s="228"/>
      <c r="AF151" s="228"/>
      <c r="AG151" s="228"/>
      <c r="AH151" s="228"/>
      <c r="AI151" s="228"/>
      <c r="AJ151" s="228"/>
      <c r="AK151" s="228"/>
      <c r="AL151" s="228"/>
      <c r="AM151" s="228"/>
      <c r="AN151" s="228"/>
      <c r="AO151" s="228"/>
      <c r="AP151" s="228"/>
      <c r="AQ151" s="228"/>
      <c r="AR151" s="228"/>
      <c r="AS151" s="228"/>
      <c r="AT151" s="228"/>
      <c r="AV151" s="228"/>
      <c r="AX151" s="228"/>
      <c r="AZ151" s="228"/>
      <c r="BB151" s="228"/>
      <c r="BD151" s="228"/>
      <c r="BF151" s="228"/>
      <c r="BH151" s="228"/>
      <c r="BJ151" s="228"/>
      <c r="BL151" s="228"/>
      <c r="BN151" s="228"/>
      <c r="BP151" s="228"/>
      <c r="BR151" s="228"/>
      <c r="BT151" s="228"/>
      <c r="BV151" s="228"/>
      <c r="BX151" s="228"/>
      <c r="BZ151" s="228"/>
      <c r="CB151" s="228"/>
      <c r="CD151" s="228"/>
      <c r="CF151" s="228"/>
    </row>
    <row r="152" spans="4:84">
      <c r="D152" s="228"/>
      <c r="E152" s="228"/>
      <c r="F152" s="228"/>
      <c r="G152" s="159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  <c r="AE152" s="228"/>
      <c r="AF152" s="228"/>
      <c r="AG152" s="228"/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228"/>
      <c r="AT152" s="228"/>
      <c r="AV152" s="228"/>
      <c r="AX152" s="228"/>
      <c r="AZ152" s="228"/>
      <c r="BB152" s="228"/>
      <c r="BD152" s="228"/>
      <c r="BF152" s="228"/>
      <c r="BH152" s="228"/>
      <c r="BJ152" s="228"/>
      <c r="BL152" s="228"/>
      <c r="BN152" s="228"/>
      <c r="BP152" s="228"/>
      <c r="BR152" s="228"/>
      <c r="BT152" s="228"/>
      <c r="BV152" s="228"/>
      <c r="BX152" s="228"/>
      <c r="BZ152" s="228"/>
      <c r="CB152" s="228"/>
      <c r="CD152" s="228"/>
      <c r="CF152" s="228"/>
    </row>
    <row r="153" spans="4:84">
      <c r="D153" s="228"/>
      <c r="E153" s="228"/>
      <c r="F153" s="228"/>
      <c r="G153" s="159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  <c r="AE153" s="228"/>
      <c r="AF153" s="228"/>
      <c r="AG153" s="228"/>
      <c r="AH153" s="228"/>
      <c r="AI153" s="228"/>
      <c r="AJ153" s="228"/>
      <c r="AK153" s="228"/>
      <c r="AL153" s="228"/>
      <c r="AM153" s="228"/>
      <c r="AN153" s="228"/>
      <c r="AO153" s="228"/>
      <c r="AP153" s="228"/>
      <c r="AQ153" s="228"/>
      <c r="AR153" s="228"/>
      <c r="AS153" s="228"/>
      <c r="AT153" s="228"/>
      <c r="AV153" s="228"/>
      <c r="AX153" s="228"/>
      <c r="AZ153" s="228"/>
      <c r="BB153" s="228"/>
      <c r="BD153" s="228"/>
      <c r="BF153" s="228"/>
      <c r="BH153" s="228"/>
      <c r="BJ153" s="228"/>
      <c r="BL153" s="228"/>
      <c r="BN153" s="228"/>
      <c r="BP153" s="228"/>
      <c r="BR153" s="228"/>
      <c r="BT153" s="228"/>
      <c r="BV153" s="228"/>
      <c r="BX153" s="228"/>
      <c r="BZ153" s="228"/>
      <c r="CB153" s="228"/>
      <c r="CD153" s="228"/>
      <c r="CF153" s="228"/>
    </row>
    <row r="154" spans="4:84">
      <c r="D154" s="228"/>
      <c r="E154" s="228"/>
      <c r="F154" s="228"/>
      <c r="G154" s="159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  <c r="AE154" s="228"/>
      <c r="AF154" s="228"/>
      <c r="AG154" s="228"/>
      <c r="AH154" s="228"/>
      <c r="AI154" s="228"/>
      <c r="AJ154" s="228"/>
      <c r="AK154" s="228"/>
      <c r="AL154" s="228"/>
      <c r="AM154" s="228"/>
      <c r="AN154" s="228"/>
      <c r="AO154" s="228"/>
      <c r="AP154" s="228"/>
      <c r="AQ154" s="228"/>
      <c r="AR154" s="228"/>
      <c r="AS154" s="228"/>
      <c r="AT154" s="228"/>
      <c r="AV154" s="228"/>
      <c r="AX154" s="228"/>
      <c r="AZ154" s="228"/>
      <c r="BB154" s="228"/>
      <c r="BD154" s="228"/>
      <c r="BF154" s="228"/>
      <c r="BH154" s="228"/>
      <c r="BJ154" s="228"/>
      <c r="BL154" s="228"/>
      <c r="BN154" s="228"/>
      <c r="BP154" s="228"/>
      <c r="BR154" s="228"/>
      <c r="BT154" s="228"/>
      <c r="BV154" s="228"/>
      <c r="BX154" s="228"/>
      <c r="BZ154" s="228"/>
      <c r="CB154" s="228"/>
      <c r="CD154" s="228"/>
      <c r="CF154" s="228"/>
    </row>
    <row r="155" spans="4:84">
      <c r="D155" s="228"/>
      <c r="E155" s="228"/>
      <c r="F155" s="228"/>
      <c r="G155" s="159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  <c r="AE155" s="228"/>
      <c r="AF155" s="228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28"/>
      <c r="AT155" s="228"/>
      <c r="AV155" s="228"/>
      <c r="AX155" s="228"/>
      <c r="AZ155" s="228"/>
      <c r="BB155" s="228"/>
      <c r="BD155" s="228"/>
      <c r="BF155" s="228"/>
      <c r="BH155" s="228"/>
      <c r="BJ155" s="228"/>
      <c r="BL155" s="228"/>
      <c r="BN155" s="228"/>
      <c r="BP155" s="228"/>
      <c r="BR155" s="228"/>
      <c r="BT155" s="228"/>
      <c r="BV155" s="228"/>
      <c r="BX155" s="228"/>
      <c r="BZ155" s="228"/>
      <c r="CB155" s="228"/>
      <c r="CD155" s="228"/>
      <c r="CF155" s="228"/>
    </row>
    <row r="156" spans="4:84">
      <c r="D156" s="228"/>
      <c r="E156" s="228"/>
      <c r="F156" s="228"/>
      <c r="G156" s="159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  <c r="AE156" s="228"/>
      <c r="AF156" s="228"/>
      <c r="AG156" s="228"/>
      <c r="AH156" s="228"/>
      <c r="AI156" s="228"/>
      <c r="AJ156" s="228"/>
      <c r="AK156" s="228"/>
      <c r="AL156" s="228"/>
      <c r="AM156" s="228"/>
      <c r="AN156" s="228"/>
      <c r="AO156" s="228"/>
      <c r="AP156" s="228"/>
      <c r="AQ156" s="228"/>
      <c r="AR156" s="228"/>
      <c r="AS156" s="228"/>
      <c r="AT156" s="228"/>
      <c r="AV156" s="228"/>
      <c r="AX156" s="228"/>
      <c r="AZ156" s="228"/>
      <c r="BB156" s="228"/>
      <c r="BD156" s="228"/>
      <c r="BF156" s="228"/>
      <c r="BH156" s="228"/>
      <c r="BJ156" s="228"/>
      <c r="BL156" s="228"/>
      <c r="BN156" s="228"/>
      <c r="BP156" s="228"/>
      <c r="BR156" s="228"/>
      <c r="BT156" s="228"/>
      <c r="BV156" s="228"/>
      <c r="BX156" s="228"/>
      <c r="BZ156" s="228"/>
      <c r="CB156" s="228"/>
      <c r="CD156" s="228"/>
      <c r="CF156" s="228"/>
    </row>
    <row r="157" spans="4:84">
      <c r="D157" s="228"/>
      <c r="E157" s="228"/>
      <c r="F157" s="228"/>
      <c r="G157" s="159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  <c r="AE157" s="228"/>
      <c r="AF157" s="228"/>
      <c r="AG157" s="228"/>
      <c r="AH157" s="228"/>
      <c r="AI157" s="228"/>
      <c r="AJ157" s="228"/>
      <c r="AK157" s="228"/>
      <c r="AL157" s="228"/>
      <c r="AM157" s="228"/>
      <c r="AN157" s="228"/>
      <c r="AO157" s="228"/>
      <c r="AP157" s="228"/>
      <c r="AQ157" s="228"/>
      <c r="AR157" s="228"/>
      <c r="AS157" s="228"/>
      <c r="AT157" s="228"/>
      <c r="AV157" s="228"/>
      <c r="AX157" s="228"/>
      <c r="AZ157" s="228"/>
      <c r="BB157" s="228"/>
      <c r="BD157" s="228"/>
      <c r="BF157" s="228"/>
      <c r="BH157" s="228"/>
      <c r="BJ157" s="228"/>
      <c r="BL157" s="228"/>
      <c r="BN157" s="228"/>
      <c r="BP157" s="228"/>
      <c r="BR157" s="228"/>
      <c r="BT157" s="228"/>
      <c r="BV157" s="228"/>
      <c r="BX157" s="228"/>
      <c r="BZ157" s="228"/>
      <c r="CB157" s="228"/>
      <c r="CD157" s="228"/>
      <c r="CF157" s="228"/>
    </row>
    <row r="158" spans="4:84">
      <c r="D158" s="228"/>
      <c r="E158" s="228"/>
      <c r="F158" s="228"/>
      <c r="G158" s="159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228"/>
      <c r="AO158" s="228"/>
      <c r="AP158" s="228"/>
      <c r="AQ158" s="228"/>
      <c r="AR158" s="228"/>
      <c r="AS158" s="228"/>
      <c r="AT158" s="228"/>
      <c r="AV158" s="228"/>
      <c r="AX158" s="228"/>
      <c r="AZ158" s="228"/>
      <c r="BB158" s="228"/>
      <c r="BD158" s="228"/>
      <c r="BF158" s="228"/>
      <c r="BH158" s="228"/>
      <c r="BJ158" s="228"/>
      <c r="BL158" s="228"/>
      <c r="BN158" s="228"/>
      <c r="BP158" s="228"/>
      <c r="BR158" s="228"/>
      <c r="BT158" s="228"/>
      <c r="BV158" s="228"/>
      <c r="BX158" s="228"/>
      <c r="BZ158" s="228"/>
      <c r="CB158" s="228"/>
      <c r="CD158" s="228"/>
      <c r="CF158" s="228"/>
    </row>
    <row r="159" spans="4:84">
      <c r="D159" s="228"/>
      <c r="E159" s="228"/>
      <c r="F159" s="228"/>
      <c r="G159" s="159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  <c r="AE159" s="228"/>
      <c r="AF159" s="228"/>
      <c r="AG159" s="228"/>
      <c r="AH159" s="228"/>
      <c r="AI159" s="228"/>
      <c r="AJ159" s="228"/>
      <c r="AK159" s="228"/>
      <c r="AL159" s="228"/>
      <c r="AM159" s="228"/>
      <c r="AN159" s="228"/>
      <c r="AO159" s="228"/>
      <c r="AP159" s="228"/>
      <c r="AQ159" s="228"/>
      <c r="AR159" s="228"/>
      <c r="AS159" s="228"/>
      <c r="AT159" s="228"/>
      <c r="AV159" s="228"/>
      <c r="AX159" s="228"/>
      <c r="AZ159" s="228"/>
      <c r="BB159" s="228"/>
      <c r="BD159" s="228"/>
      <c r="BF159" s="228"/>
      <c r="BH159" s="228"/>
      <c r="BJ159" s="228"/>
      <c r="BL159" s="228"/>
      <c r="BN159" s="228"/>
      <c r="BP159" s="228"/>
      <c r="BR159" s="228"/>
      <c r="BT159" s="228"/>
      <c r="BV159" s="228"/>
      <c r="BX159" s="228"/>
      <c r="BZ159" s="228"/>
      <c r="CB159" s="228"/>
      <c r="CD159" s="228"/>
      <c r="CF159" s="228"/>
    </row>
    <row r="160" spans="4:84">
      <c r="D160" s="228"/>
      <c r="E160" s="228"/>
      <c r="F160" s="228"/>
      <c r="G160" s="159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  <c r="AE160" s="228"/>
      <c r="AF160" s="228"/>
      <c r="AG160" s="228"/>
      <c r="AH160" s="228"/>
      <c r="AI160" s="228"/>
      <c r="AJ160" s="228"/>
      <c r="AK160" s="228"/>
      <c r="AL160" s="228"/>
      <c r="AM160" s="228"/>
      <c r="AN160" s="228"/>
      <c r="AO160" s="228"/>
      <c r="AP160" s="228"/>
      <c r="AQ160" s="228"/>
      <c r="AR160" s="228"/>
      <c r="AS160" s="228"/>
      <c r="AT160" s="228"/>
      <c r="AV160" s="228"/>
      <c r="AX160" s="228"/>
      <c r="AZ160" s="228"/>
      <c r="BB160" s="228"/>
      <c r="BD160" s="228"/>
      <c r="BF160" s="228"/>
      <c r="BH160" s="228"/>
      <c r="BJ160" s="228"/>
      <c r="BL160" s="228"/>
      <c r="BN160" s="228"/>
      <c r="BP160" s="228"/>
      <c r="BR160" s="228"/>
      <c r="BT160" s="228"/>
      <c r="BV160" s="228"/>
      <c r="BX160" s="228"/>
      <c r="BZ160" s="228"/>
      <c r="CB160" s="228"/>
      <c r="CD160" s="228"/>
      <c r="CF160" s="228"/>
    </row>
    <row r="161" spans="4:84">
      <c r="D161" s="228"/>
      <c r="E161" s="228"/>
      <c r="F161" s="228"/>
      <c r="G161" s="159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  <c r="AE161" s="228"/>
      <c r="AF161" s="228"/>
      <c r="AG161" s="228"/>
      <c r="AH161" s="228"/>
      <c r="AI161" s="228"/>
      <c r="AJ161" s="228"/>
      <c r="AK161" s="228"/>
      <c r="AL161" s="228"/>
      <c r="AM161" s="228"/>
      <c r="AN161" s="228"/>
      <c r="AO161" s="228"/>
      <c r="AP161" s="228"/>
      <c r="AQ161" s="228"/>
      <c r="AR161" s="228"/>
      <c r="AS161" s="228"/>
      <c r="AT161" s="228"/>
      <c r="AV161" s="228"/>
      <c r="AX161" s="228"/>
      <c r="AZ161" s="228"/>
      <c r="BB161" s="228"/>
      <c r="BD161" s="228"/>
      <c r="BF161" s="228"/>
      <c r="BH161" s="228"/>
      <c r="BJ161" s="228"/>
      <c r="BL161" s="228"/>
      <c r="BN161" s="228"/>
      <c r="BP161" s="228"/>
      <c r="BR161" s="228"/>
      <c r="BT161" s="228"/>
      <c r="BV161" s="228"/>
      <c r="BX161" s="228"/>
      <c r="BZ161" s="228"/>
      <c r="CB161" s="228"/>
      <c r="CD161" s="228"/>
      <c r="CF161" s="228"/>
    </row>
    <row r="162" spans="4:84">
      <c r="D162" s="228"/>
      <c r="E162" s="228"/>
      <c r="F162" s="228"/>
      <c r="G162" s="159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  <c r="AE162" s="228"/>
      <c r="AF162" s="228"/>
      <c r="AG162" s="228"/>
      <c r="AH162" s="228"/>
      <c r="AI162" s="228"/>
      <c r="AJ162" s="228"/>
      <c r="AK162" s="228"/>
      <c r="AL162" s="228"/>
      <c r="AM162" s="228"/>
      <c r="AN162" s="228"/>
      <c r="AO162" s="228"/>
      <c r="AP162" s="228"/>
      <c r="AQ162" s="228"/>
      <c r="AR162" s="228"/>
      <c r="AS162" s="228"/>
      <c r="AT162" s="228"/>
      <c r="AV162" s="228"/>
      <c r="AX162" s="228"/>
      <c r="AZ162" s="228"/>
      <c r="BB162" s="228"/>
      <c r="BD162" s="228"/>
      <c r="BF162" s="228"/>
      <c r="BH162" s="228"/>
      <c r="BJ162" s="228"/>
      <c r="BL162" s="228"/>
      <c r="BN162" s="228"/>
      <c r="BP162" s="228"/>
      <c r="BR162" s="228"/>
      <c r="BT162" s="228"/>
      <c r="BV162" s="228"/>
      <c r="BX162" s="228"/>
      <c r="BZ162" s="228"/>
      <c r="CB162" s="228"/>
      <c r="CD162" s="228"/>
      <c r="CF162" s="228"/>
    </row>
    <row r="163" spans="4:84">
      <c r="D163" s="228"/>
      <c r="E163" s="228"/>
      <c r="F163" s="228"/>
      <c r="G163" s="159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  <c r="AE163" s="228"/>
      <c r="AF163" s="228"/>
      <c r="AG163" s="228"/>
      <c r="AH163" s="228"/>
      <c r="AI163" s="228"/>
      <c r="AJ163" s="228"/>
      <c r="AK163" s="228"/>
      <c r="AL163" s="228"/>
      <c r="AM163" s="228"/>
      <c r="AN163" s="228"/>
      <c r="AO163" s="228"/>
      <c r="AP163" s="228"/>
      <c r="AQ163" s="228"/>
      <c r="AR163" s="228"/>
      <c r="AS163" s="228"/>
      <c r="AT163" s="228"/>
      <c r="AV163" s="228"/>
      <c r="AX163" s="228"/>
      <c r="AZ163" s="228"/>
      <c r="BB163" s="228"/>
      <c r="BD163" s="228"/>
      <c r="BF163" s="228"/>
      <c r="BH163" s="228"/>
      <c r="BJ163" s="228"/>
      <c r="BL163" s="228"/>
      <c r="BN163" s="228"/>
      <c r="BP163" s="228"/>
      <c r="BR163" s="228"/>
      <c r="BT163" s="228"/>
      <c r="BV163" s="228"/>
      <c r="BX163" s="228"/>
      <c r="BZ163" s="228"/>
      <c r="CB163" s="228"/>
      <c r="CD163" s="228"/>
      <c r="CF163" s="228"/>
    </row>
    <row r="164" spans="4:84">
      <c r="D164" s="228"/>
      <c r="E164" s="228"/>
      <c r="F164" s="228"/>
      <c r="G164" s="159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  <c r="AE164" s="228"/>
      <c r="AF164" s="228"/>
      <c r="AG164" s="228"/>
      <c r="AH164" s="228"/>
      <c r="AI164" s="228"/>
      <c r="AJ164" s="228"/>
      <c r="AK164" s="228"/>
      <c r="AL164" s="228"/>
      <c r="AM164" s="228"/>
      <c r="AN164" s="228"/>
      <c r="AO164" s="228"/>
      <c r="AP164" s="228"/>
      <c r="AQ164" s="228"/>
      <c r="AR164" s="228"/>
      <c r="AS164" s="228"/>
      <c r="AT164" s="228"/>
      <c r="AV164" s="228"/>
      <c r="AX164" s="228"/>
      <c r="AZ164" s="228"/>
      <c r="BB164" s="228"/>
      <c r="BD164" s="228"/>
      <c r="BF164" s="228"/>
      <c r="BH164" s="228"/>
      <c r="BJ164" s="228"/>
      <c r="BL164" s="228"/>
      <c r="BN164" s="228"/>
      <c r="BP164" s="228"/>
      <c r="BR164" s="228"/>
      <c r="BT164" s="228"/>
      <c r="BV164" s="228"/>
      <c r="BX164" s="228"/>
      <c r="BZ164" s="228"/>
      <c r="CB164" s="228"/>
      <c r="CD164" s="228"/>
      <c r="CF164" s="228"/>
    </row>
    <row r="165" spans="4:84">
      <c r="D165" s="228"/>
      <c r="E165" s="228"/>
      <c r="F165" s="228"/>
      <c r="G165" s="159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  <c r="AE165" s="228"/>
      <c r="AF165" s="228"/>
      <c r="AG165" s="228"/>
      <c r="AH165" s="228"/>
      <c r="AI165" s="228"/>
      <c r="AJ165" s="228"/>
      <c r="AK165" s="228"/>
      <c r="AL165" s="228"/>
      <c r="AM165" s="228"/>
      <c r="AN165" s="228"/>
      <c r="AO165" s="228"/>
      <c r="AP165" s="228"/>
      <c r="AQ165" s="228"/>
      <c r="AR165" s="228"/>
      <c r="AS165" s="228"/>
      <c r="AT165" s="228"/>
      <c r="AV165" s="228"/>
      <c r="AX165" s="228"/>
      <c r="AZ165" s="228"/>
      <c r="BB165" s="228"/>
      <c r="BD165" s="228"/>
      <c r="BF165" s="228"/>
      <c r="BH165" s="228"/>
      <c r="BJ165" s="228"/>
      <c r="BL165" s="228"/>
      <c r="BN165" s="228"/>
      <c r="BP165" s="228"/>
      <c r="BR165" s="228"/>
      <c r="BT165" s="228"/>
      <c r="BV165" s="228"/>
      <c r="BX165" s="228"/>
      <c r="BZ165" s="228"/>
      <c r="CB165" s="228"/>
      <c r="CD165" s="228"/>
      <c r="CF165" s="228"/>
    </row>
    <row r="166" spans="4:84">
      <c r="D166" s="228"/>
      <c r="E166" s="228"/>
      <c r="F166" s="228"/>
      <c r="G166" s="159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  <c r="AE166" s="228"/>
      <c r="AF166" s="228"/>
      <c r="AG166" s="228"/>
      <c r="AH166" s="228"/>
      <c r="AI166" s="228"/>
      <c r="AJ166" s="228"/>
      <c r="AK166" s="228"/>
      <c r="AL166" s="228"/>
      <c r="AM166" s="228"/>
      <c r="AN166" s="228"/>
      <c r="AO166" s="228"/>
      <c r="AP166" s="228"/>
      <c r="AQ166" s="228"/>
      <c r="AR166" s="228"/>
      <c r="AS166" s="228"/>
      <c r="AT166" s="228"/>
      <c r="AV166" s="228"/>
      <c r="AX166" s="228"/>
      <c r="AZ166" s="228"/>
      <c r="BB166" s="228"/>
      <c r="BD166" s="228"/>
      <c r="BF166" s="228"/>
      <c r="BH166" s="228"/>
      <c r="BJ166" s="228"/>
      <c r="BL166" s="228"/>
      <c r="BN166" s="228"/>
      <c r="BP166" s="228"/>
      <c r="BR166" s="228"/>
      <c r="BT166" s="228"/>
      <c r="BV166" s="228"/>
      <c r="BX166" s="228"/>
      <c r="BZ166" s="228"/>
      <c r="CB166" s="228"/>
      <c r="CD166" s="228"/>
      <c r="CF166" s="228"/>
    </row>
    <row r="167" spans="4:84">
      <c r="D167" s="228"/>
      <c r="E167" s="228"/>
      <c r="F167" s="228"/>
      <c r="G167" s="159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  <c r="AE167" s="228"/>
      <c r="AF167" s="228"/>
      <c r="AG167" s="228"/>
      <c r="AH167" s="228"/>
      <c r="AI167" s="228"/>
      <c r="AJ167" s="228"/>
      <c r="AK167" s="228"/>
      <c r="AL167" s="228"/>
      <c r="AM167" s="228"/>
      <c r="AN167" s="228"/>
      <c r="AO167" s="228"/>
      <c r="AP167" s="228"/>
      <c r="AQ167" s="228"/>
      <c r="AR167" s="228"/>
      <c r="AS167" s="228"/>
      <c r="AT167" s="228"/>
      <c r="AV167" s="228"/>
      <c r="AX167" s="228"/>
      <c r="AZ167" s="228"/>
      <c r="BB167" s="228"/>
      <c r="BD167" s="228"/>
      <c r="BF167" s="228"/>
      <c r="BH167" s="228"/>
      <c r="BJ167" s="228"/>
      <c r="BL167" s="228"/>
      <c r="BN167" s="228"/>
      <c r="BP167" s="228"/>
      <c r="BR167" s="228"/>
      <c r="BT167" s="228"/>
      <c r="BV167" s="228"/>
      <c r="BX167" s="228"/>
      <c r="BZ167" s="228"/>
      <c r="CB167" s="228"/>
      <c r="CD167" s="228"/>
      <c r="CF167" s="228"/>
    </row>
    <row r="168" spans="4:84">
      <c r="D168" s="228"/>
      <c r="E168" s="228"/>
      <c r="F168" s="228"/>
      <c r="G168" s="159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  <c r="AE168" s="228"/>
      <c r="AF168" s="228"/>
      <c r="AG168" s="228"/>
      <c r="AH168" s="228"/>
      <c r="AI168" s="228"/>
      <c r="AJ168" s="228"/>
      <c r="AK168" s="228"/>
      <c r="AL168" s="228"/>
      <c r="AM168" s="228"/>
      <c r="AN168" s="228"/>
      <c r="AO168" s="228"/>
      <c r="AP168" s="228"/>
      <c r="AQ168" s="228"/>
      <c r="AR168" s="228"/>
      <c r="AS168" s="228"/>
      <c r="AT168" s="228"/>
      <c r="AV168" s="228"/>
      <c r="AX168" s="228"/>
      <c r="AZ168" s="228"/>
      <c r="BB168" s="228"/>
      <c r="BD168" s="228"/>
      <c r="BF168" s="228"/>
      <c r="BH168" s="228"/>
      <c r="BJ168" s="228"/>
      <c r="BL168" s="228"/>
      <c r="BN168" s="228"/>
      <c r="BP168" s="228"/>
      <c r="BR168" s="228"/>
      <c r="BT168" s="228"/>
      <c r="BV168" s="228"/>
      <c r="BX168" s="228"/>
      <c r="BZ168" s="228"/>
      <c r="CB168" s="228"/>
      <c r="CD168" s="228"/>
      <c r="CF168" s="228"/>
    </row>
    <row r="169" spans="4:84">
      <c r="D169" s="228"/>
      <c r="E169" s="228"/>
      <c r="F169" s="228"/>
      <c r="G169" s="159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  <c r="AE169" s="228"/>
      <c r="AF169" s="228"/>
      <c r="AG169" s="228"/>
      <c r="AH169" s="228"/>
      <c r="AI169" s="228"/>
      <c r="AJ169" s="228"/>
      <c r="AK169" s="228"/>
      <c r="AL169" s="228"/>
      <c r="AM169" s="228"/>
      <c r="AN169" s="228"/>
      <c r="AO169" s="228"/>
      <c r="AP169" s="228"/>
      <c r="AQ169" s="228"/>
      <c r="AR169" s="228"/>
      <c r="AS169" s="228"/>
      <c r="AT169" s="228"/>
      <c r="AV169" s="228"/>
      <c r="AX169" s="228"/>
      <c r="AZ169" s="228"/>
      <c r="BB169" s="228"/>
      <c r="BD169" s="228"/>
      <c r="BF169" s="228"/>
      <c r="BH169" s="228"/>
      <c r="BJ169" s="228"/>
      <c r="BL169" s="228"/>
      <c r="BN169" s="228"/>
      <c r="BP169" s="228"/>
      <c r="BR169" s="228"/>
      <c r="BT169" s="228"/>
      <c r="BV169" s="228"/>
      <c r="BX169" s="228"/>
      <c r="BZ169" s="228"/>
      <c r="CB169" s="228"/>
      <c r="CD169" s="228"/>
      <c r="CF169" s="228"/>
    </row>
    <row r="170" spans="4:84">
      <c r="D170" s="228"/>
      <c r="E170" s="228"/>
      <c r="F170" s="228"/>
      <c r="G170" s="159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  <c r="AE170" s="228"/>
      <c r="AF170" s="228"/>
      <c r="AG170" s="228"/>
      <c r="AH170" s="228"/>
      <c r="AI170" s="228"/>
      <c r="AJ170" s="228"/>
      <c r="AK170" s="228"/>
      <c r="AL170" s="228"/>
      <c r="AM170" s="228"/>
      <c r="AN170" s="228"/>
      <c r="AO170" s="228"/>
      <c r="AP170" s="228"/>
      <c r="AQ170" s="228"/>
      <c r="AR170" s="228"/>
      <c r="AS170" s="228"/>
      <c r="AT170" s="228"/>
      <c r="AV170" s="228"/>
      <c r="AX170" s="228"/>
      <c r="AZ170" s="228"/>
      <c r="BB170" s="228"/>
      <c r="BD170" s="228"/>
      <c r="BF170" s="228"/>
      <c r="BH170" s="228"/>
      <c r="BJ170" s="228"/>
      <c r="BL170" s="228"/>
      <c r="BN170" s="228"/>
      <c r="BP170" s="228"/>
      <c r="BR170" s="228"/>
      <c r="BT170" s="228"/>
      <c r="BV170" s="228"/>
      <c r="BX170" s="228"/>
      <c r="BZ170" s="228"/>
      <c r="CB170" s="228"/>
      <c r="CD170" s="228"/>
      <c r="CF170" s="228"/>
    </row>
    <row r="171" spans="4:84">
      <c r="D171" s="228"/>
      <c r="E171" s="228"/>
      <c r="F171" s="228"/>
      <c r="G171" s="159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  <c r="AE171" s="228"/>
      <c r="AF171" s="228"/>
      <c r="AG171" s="228"/>
      <c r="AH171" s="228"/>
      <c r="AI171" s="228"/>
      <c r="AJ171" s="228"/>
      <c r="AK171" s="228"/>
      <c r="AL171" s="228"/>
      <c r="AM171" s="228"/>
      <c r="AN171" s="228"/>
      <c r="AO171" s="228"/>
      <c r="AP171" s="228"/>
      <c r="AQ171" s="228"/>
      <c r="AR171" s="228"/>
      <c r="AS171" s="228"/>
      <c r="AT171" s="228"/>
      <c r="AV171" s="228"/>
      <c r="AX171" s="228"/>
      <c r="AZ171" s="228"/>
      <c r="BB171" s="228"/>
      <c r="BD171" s="228"/>
      <c r="BF171" s="228"/>
      <c r="BH171" s="228"/>
      <c r="BJ171" s="228"/>
      <c r="BL171" s="228"/>
      <c r="BN171" s="228"/>
      <c r="BP171" s="228"/>
      <c r="BR171" s="228"/>
      <c r="BT171" s="228"/>
      <c r="BV171" s="228"/>
      <c r="BX171" s="228"/>
      <c r="BZ171" s="228"/>
      <c r="CB171" s="228"/>
      <c r="CD171" s="228"/>
      <c r="CF171" s="228"/>
    </row>
    <row r="172" spans="4:84">
      <c r="D172" s="228"/>
      <c r="E172" s="228"/>
      <c r="F172" s="228"/>
      <c r="G172" s="159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  <c r="AE172" s="228"/>
      <c r="AF172" s="228"/>
      <c r="AG172" s="228"/>
      <c r="AH172" s="228"/>
      <c r="AI172" s="228"/>
      <c r="AJ172" s="228"/>
      <c r="AK172" s="228"/>
      <c r="AL172" s="228"/>
      <c r="AM172" s="228"/>
      <c r="AN172" s="228"/>
      <c r="AO172" s="228"/>
      <c r="AP172" s="228"/>
      <c r="AQ172" s="228"/>
      <c r="AR172" s="228"/>
      <c r="AS172" s="228"/>
      <c r="AT172" s="228"/>
      <c r="AV172" s="228"/>
      <c r="AX172" s="228"/>
      <c r="AZ172" s="228"/>
      <c r="BB172" s="228"/>
      <c r="BD172" s="228"/>
      <c r="BF172" s="228"/>
      <c r="BH172" s="228"/>
      <c r="BJ172" s="228"/>
      <c r="BL172" s="228"/>
      <c r="BN172" s="228"/>
      <c r="BP172" s="228"/>
      <c r="BR172" s="228"/>
      <c r="BT172" s="228"/>
      <c r="BV172" s="228"/>
      <c r="BX172" s="228"/>
      <c r="BZ172" s="228"/>
      <c r="CB172" s="228"/>
      <c r="CD172" s="228"/>
      <c r="CF172" s="228"/>
    </row>
    <row r="173" spans="4:84">
      <c r="D173" s="228"/>
      <c r="E173" s="228"/>
      <c r="F173" s="228"/>
      <c r="G173" s="159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  <c r="AE173" s="228"/>
      <c r="AF173" s="228"/>
      <c r="AG173" s="228"/>
      <c r="AH173" s="228"/>
      <c r="AI173" s="228"/>
      <c r="AJ173" s="228"/>
      <c r="AK173" s="228"/>
      <c r="AL173" s="228"/>
      <c r="AM173" s="228"/>
      <c r="AN173" s="228"/>
      <c r="AO173" s="228"/>
      <c r="AP173" s="228"/>
      <c r="AQ173" s="228"/>
      <c r="AR173" s="228"/>
      <c r="AS173" s="228"/>
      <c r="AT173" s="228"/>
      <c r="AV173" s="228"/>
      <c r="AX173" s="228"/>
      <c r="AZ173" s="228"/>
      <c r="BB173" s="228"/>
      <c r="BD173" s="228"/>
      <c r="BF173" s="228"/>
      <c r="BH173" s="228"/>
      <c r="BJ173" s="228"/>
      <c r="BL173" s="228"/>
      <c r="BN173" s="228"/>
      <c r="BP173" s="228"/>
      <c r="BR173" s="228"/>
      <c r="BT173" s="228"/>
      <c r="BV173" s="228"/>
      <c r="BX173" s="228"/>
      <c r="BZ173" s="228"/>
      <c r="CB173" s="228"/>
      <c r="CD173" s="228"/>
      <c r="CF173" s="228"/>
    </row>
    <row r="174" spans="4:84">
      <c r="D174" s="228"/>
      <c r="E174" s="228"/>
      <c r="F174" s="228"/>
      <c r="G174" s="159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  <c r="AE174" s="228"/>
      <c r="AF174" s="228"/>
      <c r="AG174" s="228"/>
      <c r="AH174" s="228"/>
      <c r="AI174" s="228"/>
      <c r="AJ174" s="228"/>
      <c r="AK174" s="228"/>
      <c r="AL174" s="228"/>
      <c r="AM174" s="228"/>
      <c r="AN174" s="228"/>
      <c r="AO174" s="228"/>
      <c r="AP174" s="228"/>
      <c r="AQ174" s="228"/>
      <c r="AR174" s="228"/>
      <c r="AS174" s="228"/>
      <c r="AT174" s="228"/>
      <c r="AV174" s="228"/>
      <c r="AX174" s="228"/>
      <c r="AZ174" s="228"/>
      <c r="BB174" s="228"/>
      <c r="BD174" s="228"/>
      <c r="BF174" s="228"/>
      <c r="BH174" s="228"/>
      <c r="BJ174" s="228"/>
      <c r="BL174" s="228"/>
      <c r="BN174" s="228"/>
      <c r="BP174" s="228"/>
      <c r="BR174" s="228"/>
      <c r="BT174" s="228"/>
      <c r="BV174" s="228"/>
      <c r="BX174" s="228"/>
      <c r="BZ174" s="228"/>
      <c r="CB174" s="228"/>
      <c r="CD174" s="228"/>
      <c r="CF174" s="228"/>
    </row>
    <row r="175" spans="4:84">
      <c r="D175" s="228"/>
      <c r="E175" s="228"/>
      <c r="F175" s="228"/>
      <c r="G175" s="159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  <c r="AE175" s="228"/>
      <c r="AF175" s="228"/>
      <c r="AG175" s="228"/>
      <c r="AH175" s="228"/>
      <c r="AI175" s="228"/>
      <c r="AJ175" s="228"/>
      <c r="AK175" s="228"/>
      <c r="AL175" s="228"/>
      <c r="AM175" s="228"/>
      <c r="AN175" s="228"/>
      <c r="AO175" s="228"/>
      <c r="AP175" s="228"/>
      <c r="AQ175" s="228"/>
      <c r="AR175" s="228"/>
      <c r="AS175" s="228"/>
      <c r="AT175" s="228"/>
      <c r="AV175" s="228"/>
      <c r="AX175" s="228"/>
      <c r="AZ175" s="228"/>
      <c r="BB175" s="228"/>
      <c r="BD175" s="228"/>
      <c r="BF175" s="228"/>
      <c r="BH175" s="228"/>
      <c r="BJ175" s="228"/>
      <c r="BL175" s="228"/>
      <c r="BN175" s="228"/>
      <c r="BP175" s="228"/>
      <c r="BR175" s="228"/>
      <c r="BT175" s="228"/>
      <c r="BV175" s="228"/>
      <c r="BX175" s="228"/>
      <c r="BZ175" s="228"/>
      <c r="CB175" s="228"/>
      <c r="CD175" s="228"/>
      <c r="CF175" s="228"/>
    </row>
    <row r="176" spans="4:84">
      <c r="D176" s="228"/>
      <c r="E176" s="228"/>
      <c r="F176" s="228"/>
      <c r="G176" s="159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  <c r="AE176" s="228"/>
      <c r="AF176" s="228"/>
      <c r="AG176" s="228"/>
      <c r="AH176" s="228"/>
      <c r="AI176" s="228"/>
      <c r="AJ176" s="228"/>
      <c r="AK176" s="228"/>
      <c r="AL176" s="228"/>
      <c r="AM176" s="228"/>
      <c r="AN176" s="228"/>
      <c r="AO176" s="228"/>
      <c r="AP176" s="228"/>
      <c r="AQ176" s="228"/>
      <c r="AR176" s="228"/>
      <c r="AS176" s="228"/>
      <c r="AT176" s="228"/>
      <c r="AV176" s="228"/>
      <c r="AX176" s="228"/>
      <c r="AZ176" s="228"/>
      <c r="BB176" s="228"/>
      <c r="BD176" s="228"/>
      <c r="BF176" s="228"/>
      <c r="BH176" s="228"/>
      <c r="BJ176" s="228"/>
      <c r="BL176" s="228"/>
      <c r="BN176" s="228"/>
      <c r="BP176" s="228"/>
      <c r="BR176" s="228"/>
      <c r="BT176" s="228"/>
      <c r="BV176" s="228"/>
      <c r="BX176" s="228"/>
      <c r="BZ176" s="228"/>
      <c r="CB176" s="228"/>
      <c r="CD176" s="228"/>
      <c r="CF176" s="228"/>
    </row>
    <row r="177" spans="4:84">
      <c r="D177" s="228"/>
      <c r="E177" s="228"/>
      <c r="F177" s="228"/>
      <c r="G177" s="159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  <c r="AE177" s="228"/>
      <c r="AF177" s="228"/>
      <c r="AG177" s="228"/>
      <c r="AH177" s="228"/>
      <c r="AI177" s="228"/>
      <c r="AJ177" s="228"/>
      <c r="AK177" s="228"/>
      <c r="AL177" s="228"/>
      <c r="AM177" s="228"/>
      <c r="AN177" s="228"/>
      <c r="AO177" s="228"/>
      <c r="AP177" s="228"/>
      <c r="AQ177" s="228"/>
      <c r="AR177" s="228"/>
      <c r="AS177" s="228"/>
      <c r="AT177" s="228"/>
      <c r="AV177" s="228"/>
      <c r="AX177" s="228"/>
      <c r="AZ177" s="228"/>
      <c r="BB177" s="228"/>
      <c r="BD177" s="228"/>
      <c r="BF177" s="228"/>
      <c r="BH177" s="228"/>
      <c r="BJ177" s="228"/>
      <c r="BL177" s="228"/>
      <c r="BN177" s="228"/>
      <c r="BP177" s="228"/>
      <c r="BR177" s="228"/>
      <c r="BT177" s="228"/>
      <c r="BV177" s="228"/>
      <c r="BX177" s="228"/>
      <c r="BZ177" s="228"/>
      <c r="CB177" s="228"/>
      <c r="CD177" s="228"/>
      <c r="CF177" s="228"/>
    </row>
    <row r="178" spans="4:84">
      <c r="D178" s="228"/>
      <c r="E178" s="228"/>
      <c r="F178" s="228"/>
      <c r="G178" s="159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  <c r="AE178" s="228"/>
      <c r="AF178" s="228"/>
      <c r="AG178" s="228"/>
      <c r="AH178" s="228"/>
      <c r="AI178" s="228"/>
      <c r="AJ178" s="228"/>
      <c r="AK178" s="228"/>
      <c r="AL178" s="228"/>
      <c r="AM178" s="228"/>
      <c r="AN178" s="228"/>
      <c r="AO178" s="228"/>
      <c r="AP178" s="228"/>
      <c r="AQ178" s="228"/>
      <c r="AR178" s="228"/>
      <c r="AS178" s="228"/>
      <c r="AT178" s="228"/>
      <c r="AV178" s="228"/>
      <c r="AX178" s="228"/>
      <c r="AZ178" s="228"/>
      <c r="BB178" s="228"/>
      <c r="BD178" s="228"/>
      <c r="BF178" s="228"/>
      <c r="BH178" s="228"/>
      <c r="BJ178" s="228"/>
      <c r="BL178" s="228"/>
      <c r="BN178" s="228"/>
      <c r="BP178" s="228"/>
      <c r="BR178" s="228"/>
      <c r="BT178" s="228"/>
      <c r="BV178" s="228"/>
      <c r="BX178" s="228"/>
      <c r="BZ178" s="228"/>
      <c r="CB178" s="228"/>
      <c r="CD178" s="228"/>
      <c r="CF178" s="228"/>
    </row>
    <row r="179" spans="4:84">
      <c r="D179" s="228"/>
      <c r="E179" s="228"/>
      <c r="F179" s="228"/>
      <c r="G179" s="159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  <c r="AE179" s="228"/>
      <c r="AF179" s="228"/>
      <c r="AG179" s="228"/>
      <c r="AH179" s="228"/>
      <c r="AI179" s="228"/>
      <c r="AJ179" s="228"/>
      <c r="AK179" s="228"/>
      <c r="AL179" s="228"/>
      <c r="AM179" s="228"/>
      <c r="AN179" s="228"/>
      <c r="AO179" s="228"/>
      <c r="AP179" s="228"/>
      <c r="AQ179" s="228"/>
      <c r="AR179" s="228"/>
      <c r="AS179" s="228"/>
      <c r="AT179" s="228"/>
      <c r="AV179" s="228"/>
      <c r="AX179" s="228"/>
      <c r="AZ179" s="228"/>
      <c r="BB179" s="228"/>
      <c r="BD179" s="228"/>
      <c r="BF179" s="228"/>
      <c r="BH179" s="228"/>
      <c r="BJ179" s="228"/>
      <c r="BL179" s="228"/>
      <c r="BN179" s="228"/>
      <c r="BP179" s="228"/>
      <c r="BR179" s="228"/>
      <c r="BT179" s="228"/>
      <c r="BV179" s="228"/>
      <c r="BX179" s="228"/>
      <c r="BZ179" s="228"/>
      <c r="CB179" s="228"/>
      <c r="CD179" s="228"/>
      <c r="CF179" s="228"/>
    </row>
    <row r="180" spans="4:84">
      <c r="D180" s="228"/>
      <c r="E180" s="228"/>
      <c r="F180" s="228"/>
      <c r="G180" s="159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  <c r="AE180" s="228"/>
      <c r="AF180" s="228"/>
      <c r="AG180" s="228"/>
      <c r="AH180" s="228"/>
      <c r="AI180" s="228"/>
      <c r="AJ180" s="228"/>
      <c r="AK180" s="228"/>
      <c r="AL180" s="228"/>
      <c r="AM180" s="228"/>
      <c r="AN180" s="228"/>
      <c r="AO180" s="228"/>
      <c r="AP180" s="228"/>
      <c r="AQ180" s="228"/>
      <c r="AR180" s="228"/>
      <c r="AS180" s="228"/>
      <c r="AT180" s="228"/>
      <c r="AV180" s="228"/>
      <c r="AX180" s="228"/>
      <c r="AZ180" s="228"/>
      <c r="BB180" s="228"/>
      <c r="BD180" s="228"/>
      <c r="BF180" s="228"/>
      <c r="BH180" s="228"/>
      <c r="BJ180" s="228"/>
      <c r="BL180" s="228"/>
      <c r="BN180" s="228"/>
      <c r="BP180" s="228"/>
      <c r="BR180" s="228"/>
      <c r="BT180" s="228"/>
      <c r="BV180" s="228"/>
      <c r="BX180" s="228"/>
      <c r="BZ180" s="228"/>
      <c r="CB180" s="228"/>
      <c r="CD180" s="228"/>
      <c r="CF180" s="228"/>
    </row>
    <row r="181" spans="4:84">
      <c r="D181" s="228"/>
      <c r="E181" s="228"/>
      <c r="F181" s="228"/>
      <c r="G181" s="159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  <c r="AE181" s="228"/>
      <c r="AF181" s="228"/>
      <c r="AG181" s="228"/>
      <c r="AH181" s="228"/>
      <c r="AI181" s="228"/>
      <c r="AJ181" s="228"/>
      <c r="AK181" s="228"/>
      <c r="AL181" s="228"/>
      <c r="AM181" s="228"/>
      <c r="AN181" s="228"/>
      <c r="AO181" s="228"/>
      <c r="AP181" s="228"/>
      <c r="AQ181" s="228"/>
      <c r="AR181" s="228"/>
      <c r="AS181" s="228"/>
      <c r="AT181" s="228"/>
      <c r="AV181" s="228"/>
      <c r="AX181" s="228"/>
      <c r="AZ181" s="228"/>
      <c r="BB181" s="228"/>
      <c r="BD181" s="228"/>
      <c r="BF181" s="228"/>
      <c r="BH181" s="228"/>
      <c r="BJ181" s="228"/>
      <c r="BL181" s="228"/>
      <c r="BN181" s="228"/>
      <c r="BP181" s="228"/>
      <c r="BR181" s="228"/>
      <c r="BT181" s="228"/>
      <c r="BV181" s="228"/>
      <c r="BX181" s="228"/>
      <c r="BZ181" s="228"/>
      <c r="CB181" s="228"/>
      <c r="CD181" s="228"/>
      <c r="CF181" s="228"/>
    </row>
    <row r="182" spans="4:84">
      <c r="D182" s="228"/>
      <c r="E182" s="228"/>
      <c r="F182" s="228"/>
      <c r="G182" s="159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  <c r="AE182" s="228"/>
      <c r="AF182" s="228"/>
      <c r="AG182" s="228"/>
      <c r="AH182" s="228"/>
      <c r="AI182" s="228"/>
      <c r="AJ182" s="228"/>
      <c r="AK182" s="228"/>
      <c r="AL182" s="228"/>
      <c r="AM182" s="228"/>
      <c r="AN182" s="228"/>
      <c r="AO182" s="228"/>
      <c r="AP182" s="228"/>
      <c r="AQ182" s="228"/>
      <c r="AR182" s="228"/>
      <c r="AS182" s="228"/>
      <c r="AT182" s="228"/>
      <c r="AV182" s="228"/>
      <c r="AX182" s="228"/>
      <c r="AZ182" s="228"/>
      <c r="BB182" s="228"/>
      <c r="BD182" s="228"/>
      <c r="BF182" s="228"/>
      <c r="BH182" s="228"/>
      <c r="BJ182" s="228"/>
      <c r="BL182" s="228"/>
      <c r="BN182" s="228"/>
      <c r="BP182" s="228"/>
      <c r="BR182" s="228"/>
      <c r="BT182" s="228"/>
      <c r="BV182" s="228"/>
      <c r="BX182" s="228"/>
      <c r="BZ182" s="228"/>
      <c r="CB182" s="228"/>
      <c r="CD182" s="228"/>
      <c r="CF182" s="228"/>
    </row>
    <row r="183" spans="4:84">
      <c r="D183" s="228"/>
      <c r="E183" s="228"/>
      <c r="F183" s="228"/>
      <c r="G183" s="159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  <c r="AE183" s="228"/>
      <c r="AF183" s="228"/>
      <c r="AG183" s="228"/>
      <c r="AH183" s="228"/>
      <c r="AI183" s="228"/>
      <c r="AJ183" s="228"/>
      <c r="AK183" s="228"/>
      <c r="AL183" s="228"/>
      <c r="AM183" s="228"/>
      <c r="AN183" s="228"/>
      <c r="AO183" s="228"/>
      <c r="AP183" s="228"/>
      <c r="AQ183" s="228"/>
      <c r="AR183" s="228"/>
      <c r="AS183" s="228"/>
      <c r="AT183" s="228"/>
      <c r="AV183" s="228"/>
      <c r="AX183" s="228"/>
      <c r="AZ183" s="228"/>
      <c r="BB183" s="228"/>
      <c r="BD183" s="228"/>
      <c r="BF183" s="228"/>
      <c r="BH183" s="228"/>
      <c r="BJ183" s="228"/>
      <c r="BL183" s="228"/>
      <c r="BN183" s="228"/>
      <c r="BP183" s="228"/>
      <c r="BR183" s="228"/>
      <c r="BT183" s="228"/>
      <c r="BV183" s="228"/>
      <c r="BX183" s="228"/>
      <c r="BZ183" s="228"/>
      <c r="CB183" s="228"/>
      <c r="CD183" s="228"/>
      <c r="CF183" s="228"/>
    </row>
    <row r="184" spans="4:84">
      <c r="D184" s="228"/>
      <c r="E184" s="228"/>
      <c r="F184" s="228"/>
      <c r="G184" s="159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  <c r="AE184" s="228"/>
      <c r="AF184" s="228"/>
      <c r="AG184" s="228"/>
      <c r="AH184" s="228"/>
      <c r="AI184" s="228"/>
      <c r="AJ184" s="228"/>
      <c r="AK184" s="228"/>
      <c r="AL184" s="228"/>
      <c r="AM184" s="228"/>
      <c r="AN184" s="228"/>
      <c r="AO184" s="228"/>
      <c r="AP184" s="228"/>
      <c r="AQ184" s="228"/>
      <c r="AR184" s="228"/>
      <c r="AS184" s="228"/>
      <c r="AT184" s="228"/>
      <c r="AV184" s="228"/>
      <c r="AX184" s="228"/>
      <c r="AZ184" s="228"/>
      <c r="BB184" s="228"/>
      <c r="BD184" s="228"/>
      <c r="BF184" s="228"/>
      <c r="BH184" s="228"/>
      <c r="BJ184" s="228"/>
      <c r="BL184" s="228"/>
      <c r="BN184" s="228"/>
      <c r="BP184" s="228"/>
      <c r="BR184" s="228"/>
      <c r="BT184" s="228"/>
      <c r="BV184" s="228"/>
      <c r="BX184" s="228"/>
      <c r="BZ184" s="228"/>
      <c r="CB184" s="228"/>
      <c r="CD184" s="228"/>
      <c r="CF184" s="228"/>
    </row>
    <row r="185" spans="4:84">
      <c r="D185" s="228"/>
      <c r="E185" s="228"/>
      <c r="F185" s="228"/>
      <c r="G185" s="159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  <c r="AE185" s="228"/>
      <c r="AF185" s="228"/>
      <c r="AG185" s="228"/>
      <c r="AH185" s="228"/>
      <c r="AI185" s="228"/>
      <c r="AJ185" s="228"/>
      <c r="AK185" s="228"/>
      <c r="AL185" s="228"/>
      <c r="AM185" s="228"/>
      <c r="AN185" s="228"/>
      <c r="AO185" s="228"/>
      <c r="AP185" s="228"/>
      <c r="AQ185" s="228"/>
      <c r="AR185" s="228"/>
      <c r="AS185" s="228"/>
      <c r="AT185" s="228"/>
      <c r="AV185" s="228"/>
      <c r="AX185" s="228"/>
      <c r="AZ185" s="228"/>
      <c r="BB185" s="228"/>
      <c r="BD185" s="228"/>
      <c r="BF185" s="228"/>
      <c r="BH185" s="228"/>
      <c r="BJ185" s="228"/>
      <c r="BL185" s="228"/>
      <c r="BN185" s="228"/>
      <c r="BP185" s="228"/>
      <c r="BR185" s="228"/>
      <c r="BT185" s="228"/>
      <c r="BV185" s="228"/>
      <c r="BX185" s="228"/>
      <c r="BZ185" s="228"/>
      <c r="CB185" s="228"/>
      <c r="CD185" s="228"/>
      <c r="CF185" s="228"/>
    </row>
    <row r="186" spans="4:84">
      <c r="D186" s="228"/>
      <c r="E186" s="228"/>
      <c r="F186" s="228"/>
      <c r="G186" s="159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  <c r="AE186" s="228"/>
      <c r="AF186" s="228"/>
      <c r="AG186" s="228"/>
      <c r="AH186" s="228"/>
      <c r="AI186" s="228"/>
      <c r="AJ186" s="228"/>
      <c r="AK186" s="228"/>
      <c r="AL186" s="228"/>
      <c r="AM186" s="228"/>
      <c r="AN186" s="228"/>
      <c r="AO186" s="228"/>
      <c r="AP186" s="228"/>
      <c r="AQ186" s="228"/>
      <c r="AR186" s="228"/>
      <c r="AS186" s="228"/>
      <c r="AT186" s="228"/>
      <c r="AV186" s="228"/>
      <c r="AX186" s="228"/>
      <c r="AZ186" s="228"/>
      <c r="BB186" s="228"/>
      <c r="BD186" s="228"/>
      <c r="BF186" s="228"/>
      <c r="BH186" s="228"/>
      <c r="BJ186" s="228"/>
      <c r="BL186" s="228"/>
      <c r="BN186" s="228"/>
      <c r="BP186" s="228"/>
      <c r="BR186" s="228"/>
      <c r="BT186" s="228"/>
      <c r="BV186" s="228"/>
      <c r="BX186" s="228"/>
      <c r="BZ186" s="228"/>
      <c r="CB186" s="228"/>
      <c r="CD186" s="228"/>
      <c r="CF186" s="228"/>
    </row>
    <row r="187" spans="4:84">
      <c r="D187" s="228"/>
      <c r="E187" s="228"/>
      <c r="F187" s="228"/>
      <c r="G187" s="159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  <c r="AE187" s="228"/>
      <c r="AF187" s="228"/>
      <c r="AG187" s="228"/>
      <c r="AH187" s="228"/>
      <c r="AI187" s="228"/>
      <c r="AJ187" s="228"/>
      <c r="AK187" s="228"/>
      <c r="AL187" s="228"/>
      <c r="AM187" s="228"/>
      <c r="AN187" s="228"/>
      <c r="AO187" s="228"/>
      <c r="AP187" s="228"/>
      <c r="AQ187" s="228"/>
      <c r="AR187" s="228"/>
      <c r="AS187" s="228"/>
      <c r="AT187" s="228"/>
      <c r="AV187" s="228"/>
      <c r="AX187" s="228"/>
      <c r="AZ187" s="228"/>
      <c r="BB187" s="228"/>
      <c r="BD187" s="228"/>
      <c r="BF187" s="228"/>
      <c r="BH187" s="228"/>
      <c r="BJ187" s="228"/>
      <c r="BL187" s="228"/>
      <c r="BN187" s="228"/>
      <c r="BP187" s="228"/>
      <c r="BR187" s="228"/>
      <c r="BT187" s="228"/>
      <c r="BV187" s="228"/>
      <c r="BX187" s="228"/>
      <c r="BZ187" s="228"/>
      <c r="CB187" s="228"/>
      <c r="CD187" s="228"/>
      <c r="CF187" s="228"/>
    </row>
    <row r="188" spans="4:84">
      <c r="D188" s="228"/>
      <c r="E188" s="228"/>
      <c r="F188" s="228"/>
      <c r="G188" s="159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  <c r="AE188" s="228"/>
      <c r="AF188" s="228"/>
      <c r="AG188" s="228"/>
      <c r="AH188" s="228"/>
      <c r="AI188" s="228"/>
      <c r="AJ188" s="228"/>
      <c r="AK188" s="228"/>
      <c r="AL188" s="228"/>
      <c r="AM188" s="228"/>
      <c r="AN188" s="228"/>
      <c r="AO188" s="228"/>
      <c r="AP188" s="228"/>
      <c r="AQ188" s="228"/>
      <c r="AR188" s="228"/>
      <c r="AS188" s="228"/>
      <c r="AT188" s="228"/>
      <c r="AV188" s="228"/>
      <c r="AX188" s="228"/>
      <c r="AZ188" s="228"/>
      <c r="BB188" s="228"/>
      <c r="BD188" s="228"/>
      <c r="BF188" s="228"/>
      <c r="BH188" s="228"/>
      <c r="BJ188" s="228"/>
      <c r="BL188" s="228"/>
      <c r="BN188" s="228"/>
      <c r="BP188" s="228"/>
      <c r="BR188" s="228"/>
      <c r="BT188" s="228"/>
      <c r="BV188" s="228"/>
      <c r="BX188" s="228"/>
      <c r="BZ188" s="228"/>
      <c r="CB188" s="228"/>
      <c r="CD188" s="228"/>
      <c r="CF188" s="228"/>
    </row>
    <row r="189" spans="4:84">
      <c r="D189" s="228"/>
      <c r="E189" s="228"/>
      <c r="F189" s="228"/>
      <c r="G189" s="159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  <c r="AE189" s="228"/>
      <c r="AF189" s="228"/>
      <c r="AG189" s="228"/>
      <c r="AH189" s="228"/>
      <c r="AI189" s="228"/>
      <c r="AJ189" s="228"/>
      <c r="AK189" s="228"/>
      <c r="AL189" s="228"/>
      <c r="AM189" s="228"/>
      <c r="AN189" s="228"/>
      <c r="AO189" s="228"/>
      <c r="AP189" s="228"/>
      <c r="AQ189" s="228"/>
      <c r="AR189" s="228"/>
      <c r="AS189" s="228"/>
      <c r="AT189" s="228"/>
      <c r="AV189" s="228"/>
      <c r="AX189" s="228"/>
      <c r="AZ189" s="228"/>
      <c r="BB189" s="228"/>
      <c r="BD189" s="228"/>
      <c r="BF189" s="228"/>
      <c r="BH189" s="228"/>
      <c r="BJ189" s="228"/>
      <c r="BL189" s="228"/>
      <c r="BN189" s="228"/>
      <c r="BP189" s="228"/>
      <c r="BR189" s="228"/>
      <c r="BT189" s="228"/>
      <c r="BV189" s="228"/>
      <c r="BX189" s="228"/>
      <c r="BZ189" s="228"/>
      <c r="CB189" s="228"/>
      <c r="CD189" s="228"/>
      <c r="CF189" s="228"/>
    </row>
    <row r="190" spans="4:84">
      <c r="D190" s="228"/>
      <c r="E190" s="228"/>
      <c r="F190" s="228"/>
      <c r="G190" s="159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  <c r="AE190" s="228"/>
      <c r="AF190" s="228"/>
      <c r="AG190" s="228"/>
      <c r="AH190" s="228"/>
      <c r="AI190" s="228"/>
      <c r="AJ190" s="228"/>
      <c r="AK190" s="228"/>
      <c r="AL190" s="228"/>
      <c r="AM190" s="228"/>
      <c r="AN190" s="228"/>
      <c r="AO190" s="228"/>
      <c r="AP190" s="228"/>
      <c r="AQ190" s="228"/>
      <c r="AR190" s="228"/>
      <c r="AS190" s="228"/>
      <c r="AT190" s="228"/>
      <c r="AV190" s="228"/>
      <c r="AX190" s="228"/>
      <c r="AZ190" s="228"/>
      <c r="BB190" s="228"/>
      <c r="BD190" s="228"/>
      <c r="BF190" s="228"/>
      <c r="BH190" s="228"/>
      <c r="BJ190" s="228"/>
      <c r="BL190" s="228"/>
      <c r="BN190" s="228"/>
      <c r="BP190" s="228"/>
      <c r="BR190" s="228"/>
      <c r="BT190" s="228"/>
      <c r="BV190" s="228"/>
      <c r="BX190" s="228"/>
      <c r="BZ190" s="228"/>
      <c r="CB190" s="228"/>
      <c r="CD190" s="228"/>
      <c r="CF190" s="228"/>
    </row>
    <row r="191" spans="4:84">
      <c r="D191" s="228"/>
      <c r="E191" s="228"/>
      <c r="F191" s="228"/>
      <c r="G191" s="159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  <c r="AE191" s="228"/>
      <c r="AF191" s="228"/>
      <c r="AG191" s="228"/>
      <c r="AH191" s="228"/>
      <c r="AI191" s="228"/>
      <c r="AJ191" s="228"/>
      <c r="AK191" s="228"/>
      <c r="AL191" s="228"/>
      <c r="AM191" s="228"/>
      <c r="AN191" s="228"/>
      <c r="AO191" s="228"/>
      <c r="AP191" s="228"/>
      <c r="AQ191" s="228"/>
      <c r="AR191" s="228"/>
      <c r="AS191" s="228"/>
      <c r="AT191" s="228"/>
      <c r="AV191" s="228"/>
      <c r="AX191" s="228"/>
      <c r="AZ191" s="228"/>
      <c r="BB191" s="228"/>
      <c r="BD191" s="228"/>
      <c r="BF191" s="228"/>
      <c r="BH191" s="228"/>
      <c r="BJ191" s="228"/>
      <c r="BL191" s="228"/>
      <c r="BN191" s="228"/>
      <c r="BP191" s="228"/>
      <c r="BR191" s="228"/>
      <c r="BT191" s="228"/>
      <c r="BV191" s="228"/>
      <c r="BX191" s="228"/>
      <c r="BZ191" s="228"/>
      <c r="CB191" s="228"/>
      <c r="CD191" s="228"/>
      <c r="CF191" s="228"/>
    </row>
    <row r="192" spans="4:84">
      <c r="D192" s="228"/>
      <c r="E192" s="228"/>
      <c r="F192" s="228"/>
      <c r="G192" s="159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  <c r="AE192" s="228"/>
      <c r="AF192" s="228"/>
      <c r="AG192" s="228"/>
      <c r="AH192" s="228"/>
      <c r="AI192" s="228"/>
      <c r="AJ192" s="228"/>
      <c r="AK192" s="228"/>
      <c r="AL192" s="228"/>
      <c r="AM192" s="228"/>
      <c r="AN192" s="228"/>
      <c r="AO192" s="228"/>
      <c r="AP192" s="228"/>
      <c r="AQ192" s="228"/>
      <c r="AR192" s="228"/>
      <c r="AS192" s="228"/>
      <c r="AT192" s="228"/>
      <c r="AV192" s="228"/>
      <c r="AX192" s="228"/>
      <c r="AZ192" s="228"/>
      <c r="BB192" s="228"/>
      <c r="BD192" s="228"/>
      <c r="BF192" s="228"/>
      <c r="BH192" s="228"/>
      <c r="BJ192" s="228"/>
      <c r="BL192" s="228"/>
      <c r="BN192" s="228"/>
      <c r="BP192" s="228"/>
      <c r="BR192" s="228"/>
      <c r="BT192" s="228"/>
      <c r="BV192" s="228"/>
      <c r="BX192" s="228"/>
      <c r="BZ192" s="228"/>
      <c r="CB192" s="228"/>
      <c r="CD192" s="228"/>
      <c r="CF192" s="228"/>
    </row>
    <row r="193" spans="4:84">
      <c r="D193" s="228"/>
      <c r="E193" s="228"/>
      <c r="F193" s="228"/>
      <c r="G193" s="159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  <c r="AE193" s="228"/>
      <c r="AF193" s="228"/>
      <c r="AG193" s="228"/>
      <c r="AH193" s="228"/>
      <c r="AI193" s="228"/>
      <c r="AJ193" s="228"/>
      <c r="AK193" s="228"/>
      <c r="AL193" s="228"/>
      <c r="AM193" s="228"/>
      <c r="AN193" s="228"/>
      <c r="AO193" s="228"/>
      <c r="AP193" s="228"/>
      <c r="AQ193" s="228"/>
      <c r="AR193" s="228"/>
      <c r="AS193" s="228"/>
      <c r="AT193" s="228"/>
      <c r="AV193" s="228"/>
      <c r="AX193" s="228"/>
      <c r="AZ193" s="228"/>
      <c r="BB193" s="228"/>
      <c r="BD193" s="228"/>
      <c r="BF193" s="228"/>
      <c r="BH193" s="228"/>
      <c r="BJ193" s="228"/>
      <c r="BL193" s="228"/>
      <c r="BN193" s="228"/>
      <c r="BP193" s="228"/>
      <c r="BR193" s="228"/>
      <c r="BT193" s="228"/>
      <c r="BV193" s="228"/>
      <c r="BX193" s="228"/>
      <c r="BZ193" s="228"/>
      <c r="CB193" s="228"/>
      <c r="CD193" s="228"/>
      <c r="CF193" s="228"/>
    </row>
    <row r="194" spans="4:84">
      <c r="D194" s="228"/>
      <c r="E194" s="228"/>
      <c r="F194" s="228"/>
      <c r="G194" s="159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  <c r="AE194" s="228"/>
      <c r="AF194" s="228"/>
      <c r="AG194" s="228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28"/>
      <c r="AT194" s="228"/>
      <c r="AV194" s="228"/>
      <c r="AX194" s="228"/>
      <c r="AZ194" s="228"/>
      <c r="BB194" s="228"/>
      <c r="BD194" s="228"/>
      <c r="BF194" s="228"/>
      <c r="BH194" s="228"/>
      <c r="BJ194" s="228"/>
      <c r="BL194" s="228"/>
      <c r="BN194" s="228"/>
      <c r="BP194" s="228"/>
      <c r="BR194" s="228"/>
      <c r="BT194" s="228"/>
      <c r="BV194" s="228"/>
      <c r="BX194" s="228"/>
      <c r="BZ194" s="228"/>
      <c r="CB194" s="228"/>
      <c r="CD194" s="228"/>
      <c r="CF194" s="228"/>
    </row>
    <row r="195" spans="4:84">
      <c r="D195" s="228"/>
      <c r="E195" s="228"/>
      <c r="F195" s="228"/>
      <c r="G195" s="159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  <c r="AE195" s="228"/>
      <c r="AF195" s="228"/>
      <c r="AG195" s="228"/>
      <c r="AH195" s="228"/>
      <c r="AI195" s="228"/>
      <c r="AJ195" s="228"/>
      <c r="AK195" s="228"/>
      <c r="AL195" s="228"/>
      <c r="AM195" s="228"/>
      <c r="AN195" s="228"/>
      <c r="AO195" s="228"/>
      <c r="AP195" s="228"/>
      <c r="AQ195" s="228"/>
      <c r="AR195" s="228"/>
      <c r="AS195" s="228"/>
      <c r="AT195" s="228"/>
      <c r="AV195" s="228"/>
      <c r="AX195" s="228"/>
      <c r="AZ195" s="228"/>
      <c r="BB195" s="228"/>
      <c r="BD195" s="228"/>
      <c r="BF195" s="228"/>
      <c r="BH195" s="228"/>
      <c r="BJ195" s="228"/>
      <c r="BL195" s="228"/>
      <c r="BN195" s="228"/>
      <c r="BP195" s="228"/>
      <c r="BR195" s="228"/>
      <c r="BT195" s="228"/>
      <c r="BV195" s="228"/>
      <c r="BX195" s="228"/>
      <c r="BZ195" s="228"/>
      <c r="CB195" s="228"/>
      <c r="CD195" s="228"/>
      <c r="CF195" s="228"/>
    </row>
    <row r="196" spans="4:84">
      <c r="D196" s="228"/>
      <c r="E196" s="228"/>
      <c r="F196" s="228"/>
      <c r="G196" s="159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  <c r="AE196" s="228"/>
      <c r="AF196" s="228"/>
      <c r="AG196" s="228"/>
      <c r="AH196" s="228"/>
      <c r="AI196" s="228"/>
      <c r="AJ196" s="228"/>
      <c r="AK196" s="228"/>
      <c r="AL196" s="228"/>
      <c r="AM196" s="228"/>
      <c r="AN196" s="228"/>
      <c r="AO196" s="228"/>
      <c r="AP196" s="228"/>
      <c r="AQ196" s="228"/>
      <c r="AR196" s="228"/>
      <c r="AS196" s="228"/>
      <c r="AT196" s="228"/>
      <c r="AV196" s="228"/>
      <c r="AX196" s="228"/>
      <c r="AZ196" s="228"/>
      <c r="BB196" s="228"/>
      <c r="BD196" s="228"/>
      <c r="BF196" s="228"/>
      <c r="BH196" s="228"/>
      <c r="BJ196" s="228"/>
      <c r="BL196" s="228"/>
      <c r="BN196" s="228"/>
      <c r="BP196" s="228"/>
      <c r="BR196" s="228"/>
      <c r="BT196" s="228"/>
      <c r="BV196" s="228"/>
      <c r="BX196" s="228"/>
      <c r="BZ196" s="228"/>
      <c r="CB196" s="228"/>
      <c r="CD196" s="228"/>
      <c r="CF196" s="228"/>
    </row>
    <row r="197" spans="4:84">
      <c r="D197" s="228"/>
      <c r="E197" s="228"/>
      <c r="F197" s="228"/>
      <c r="G197" s="159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  <c r="AE197" s="228"/>
      <c r="AF197" s="228"/>
      <c r="AG197" s="228"/>
      <c r="AH197" s="228"/>
      <c r="AI197" s="228"/>
      <c r="AJ197" s="228"/>
      <c r="AK197" s="228"/>
      <c r="AL197" s="228"/>
      <c r="AM197" s="228"/>
      <c r="AN197" s="228"/>
      <c r="AO197" s="228"/>
      <c r="AP197" s="228"/>
      <c r="AQ197" s="228"/>
      <c r="AR197" s="228"/>
      <c r="AS197" s="228"/>
      <c r="AT197" s="228"/>
      <c r="AV197" s="228"/>
      <c r="AX197" s="228"/>
      <c r="AZ197" s="228"/>
      <c r="BB197" s="228"/>
      <c r="BD197" s="228"/>
      <c r="BF197" s="228"/>
      <c r="BH197" s="228"/>
      <c r="BJ197" s="228"/>
      <c r="BL197" s="228"/>
      <c r="BN197" s="228"/>
      <c r="BP197" s="228"/>
      <c r="BR197" s="228"/>
      <c r="BT197" s="228"/>
      <c r="BV197" s="228"/>
      <c r="BX197" s="228"/>
      <c r="BZ197" s="228"/>
      <c r="CB197" s="228"/>
      <c r="CD197" s="228"/>
      <c r="CF197" s="228"/>
    </row>
    <row r="198" spans="4:84">
      <c r="D198" s="228"/>
      <c r="E198" s="228"/>
      <c r="F198" s="228"/>
      <c r="G198" s="159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  <c r="AE198" s="228"/>
      <c r="AF198" s="228"/>
      <c r="AG198" s="228"/>
      <c r="AH198" s="228"/>
      <c r="AI198" s="228"/>
      <c r="AJ198" s="228"/>
      <c r="AK198" s="228"/>
      <c r="AL198" s="228"/>
      <c r="AM198" s="228"/>
      <c r="AN198" s="228"/>
      <c r="AO198" s="228"/>
      <c r="AP198" s="228"/>
      <c r="AQ198" s="228"/>
      <c r="AR198" s="228"/>
      <c r="AS198" s="228"/>
      <c r="AT198" s="228"/>
      <c r="AV198" s="228"/>
      <c r="AX198" s="228"/>
      <c r="AZ198" s="228"/>
      <c r="BB198" s="228"/>
      <c r="BD198" s="228"/>
      <c r="BF198" s="228"/>
      <c r="BH198" s="228"/>
      <c r="BJ198" s="228"/>
      <c r="BL198" s="228"/>
      <c r="BN198" s="228"/>
      <c r="BP198" s="228"/>
      <c r="BR198" s="228"/>
      <c r="BT198" s="228"/>
      <c r="BV198" s="228"/>
      <c r="BX198" s="228"/>
      <c r="BZ198" s="228"/>
      <c r="CB198" s="228"/>
      <c r="CD198" s="228"/>
      <c r="CF198" s="228"/>
    </row>
    <row r="199" spans="4:84">
      <c r="D199" s="228"/>
      <c r="E199" s="228"/>
      <c r="F199" s="228"/>
      <c r="G199" s="159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  <c r="AE199" s="228"/>
      <c r="AF199" s="228"/>
      <c r="AG199" s="228"/>
      <c r="AH199" s="228"/>
      <c r="AI199" s="228"/>
      <c r="AJ199" s="228"/>
      <c r="AK199" s="228"/>
      <c r="AL199" s="228"/>
      <c r="AM199" s="228"/>
      <c r="AN199" s="228"/>
      <c r="AO199" s="228"/>
      <c r="AP199" s="228"/>
      <c r="AQ199" s="228"/>
      <c r="AR199" s="228"/>
      <c r="AS199" s="228"/>
      <c r="AT199" s="228"/>
      <c r="AV199" s="228"/>
      <c r="AX199" s="228"/>
      <c r="AZ199" s="228"/>
      <c r="BB199" s="228"/>
      <c r="BD199" s="228"/>
      <c r="BF199" s="228"/>
      <c r="BH199" s="228"/>
      <c r="BJ199" s="228"/>
      <c r="BL199" s="228"/>
      <c r="BN199" s="228"/>
      <c r="BP199" s="228"/>
      <c r="BR199" s="228"/>
      <c r="BT199" s="228"/>
      <c r="BV199" s="228"/>
      <c r="BX199" s="228"/>
      <c r="BZ199" s="228"/>
      <c r="CB199" s="228"/>
      <c r="CD199" s="228"/>
      <c r="CF199" s="228"/>
    </row>
    <row r="200" spans="4:84">
      <c r="D200" s="228"/>
      <c r="E200" s="228"/>
      <c r="F200" s="228"/>
      <c r="G200" s="159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  <c r="AE200" s="228"/>
      <c r="AF200" s="228"/>
      <c r="AG200" s="228"/>
      <c r="AH200" s="228"/>
      <c r="AI200" s="228"/>
      <c r="AJ200" s="228"/>
      <c r="AK200" s="228"/>
      <c r="AL200" s="228"/>
      <c r="AM200" s="228"/>
      <c r="AN200" s="228"/>
      <c r="AO200" s="228"/>
      <c r="AP200" s="228"/>
      <c r="AQ200" s="228"/>
      <c r="AR200" s="228"/>
      <c r="AS200" s="228"/>
      <c r="AT200" s="228"/>
      <c r="AV200" s="228"/>
      <c r="AX200" s="228"/>
      <c r="AZ200" s="228"/>
      <c r="BB200" s="228"/>
      <c r="BD200" s="228"/>
      <c r="BF200" s="228"/>
      <c r="BH200" s="228"/>
      <c r="BJ200" s="228"/>
      <c r="BL200" s="228"/>
      <c r="BN200" s="228"/>
      <c r="BP200" s="228"/>
      <c r="BR200" s="228"/>
      <c r="BT200" s="228"/>
      <c r="BV200" s="228"/>
      <c r="BX200" s="228"/>
      <c r="BZ200" s="228"/>
      <c r="CB200" s="228"/>
      <c r="CD200" s="228"/>
      <c r="CF200" s="228"/>
    </row>
    <row r="201" spans="4:84">
      <c r="D201" s="228"/>
      <c r="E201" s="228"/>
      <c r="F201" s="228"/>
      <c r="G201" s="159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  <c r="AE201" s="228"/>
      <c r="AF201" s="228"/>
      <c r="AG201" s="228"/>
      <c r="AH201" s="228"/>
      <c r="AI201" s="228"/>
      <c r="AJ201" s="228"/>
      <c r="AK201" s="228"/>
      <c r="AL201" s="228"/>
      <c r="AM201" s="228"/>
      <c r="AN201" s="228"/>
      <c r="AO201" s="228"/>
      <c r="AP201" s="228"/>
      <c r="AQ201" s="228"/>
      <c r="AR201" s="228"/>
      <c r="AS201" s="228"/>
      <c r="AT201" s="228"/>
      <c r="AV201" s="228"/>
      <c r="AX201" s="228"/>
      <c r="AZ201" s="228"/>
      <c r="BB201" s="228"/>
      <c r="BD201" s="228"/>
      <c r="BF201" s="228"/>
      <c r="BH201" s="228"/>
      <c r="BJ201" s="228"/>
      <c r="BL201" s="228"/>
      <c r="BN201" s="228"/>
      <c r="BP201" s="228"/>
      <c r="BR201" s="228"/>
      <c r="BT201" s="228"/>
      <c r="BV201" s="228"/>
      <c r="BX201" s="228"/>
      <c r="BZ201" s="228"/>
      <c r="CB201" s="228"/>
      <c r="CD201" s="228"/>
      <c r="CF201" s="228"/>
    </row>
    <row r="202" spans="4:84">
      <c r="D202" s="228"/>
      <c r="E202" s="228"/>
      <c r="F202" s="228"/>
      <c r="G202" s="159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  <c r="AE202" s="228"/>
      <c r="AF202" s="228"/>
      <c r="AG202" s="228"/>
      <c r="AH202" s="228"/>
      <c r="AI202" s="228"/>
      <c r="AJ202" s="228"/>
      <c r="AK202" s="228"/>
      <c r="AL202" s="228"/>
      <c r="AM202" s="228"/>
      <c r="AN202" s="228"/>
      <c r="AO202" s="228"/>
      <c r="AP202" s="228"/>
      <c r="AQ202" s="228"/>
      <c r="AR202" s="228"/>
      <c r="AS202" s="228"/>
      <c r="AT202" s="228"/>
      <c r="AV202" s="228"/>
      <c r="AX202" s="228"/>
      <c r="AZ202" s="228"/>
      <c r="BB202" s="228"/>
      <c r="BD202" s="228"/>
      <c r="BF202" s="228"/>
      <c r="BH202" s="228"/>
      <c r="BJ202" s="228"/>
      <c r="BL202" s="228"/>
      <c r="BN202" s="228"/>
      <c r="BP202" s="228"/>
      <c r="BR202" s="228"/>
      <c r="BT202" s="228"/>
      <c r="BV202" s="228"/>
      <c r="BX202" s="228"/>
      <c r="BZ202" s="228"/>
      <c r="CB202" s="228"/>
      <c r="CD202" s="228"/>
      <c r="CF202" s="228"/>
    </row>
    <row r="203" spans="4:84">
      <c r="D203" s="228"/>
      <c r="E203" s="228"/>
      <c r="F203" s="228"/>
      <c r="G203" s="159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  <c r="AE203" s="228"/>
      <c r="AF203" s="228"/>
      <c r="AG203" s="228"/>
      <c r="AH203" s="228"/>
      <c r="AI203" s="228"/>
      <c r="AJ203" s="228"/>
      <c r="AK203" s="228"/>
      <c r="AL203" s="228"/>
      <c r="AM203" s="228"/>
      <c r="AN203" s="228"/>
      <c r="AO203" s="228"/>
      <c r="AP203" s="228"/>
      <c r="AQ203" s="228"/>
      <c r="AR203" s="228"/>
      <c r="AS203" s="228"/>
      <c r="AT203" s="228"/>
      <c r="AV203" s="228"/>
      <c r="AX203" s="228"/>
      <c r="AZ203" s="228"/>
      <c r="BB203" s="228"/>
      <c r="BD203" s="228"/>
      <c r="BF203" s="228"/>
      <c r="BH203" s="228"/>
      <c r="BJ203" s="228"/>
      <c r="BL203" s="228"/>
      <c r="BN203" s="228"/>
      <c r="BP203" s="228"/>
      <c r="BR203" s="228"/>
      <c r="BT203" s="228"/>
      <c r="BV203" s="228"/>
      <c r="BX203" s="228"/>
      <c r="BZ203" s="228"/>
      <c r="CB203" s="228"/>
      <c r="CD203" s="228"/>
      <c r="CF203" s="228"/>
    </row>
    <row r="204" spans="4:84">
      <c r="D204" s="228"/>
      <c r="E204" s="228"/>
      <c r="F204" s="228"/>
      <c r="G204" s="159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  <c r="AE204" s="228"/>
      <c r="AF204" s="228"/>
      <c r="AG204" s="228"/>
      <c r="AH204" s="228"/>
      <c r="AI204" s="228"/>
      <c r="AJ204" s="228"/>
      <c r="AK204" s="228"/>
      <c r="AL204" s="228"/>
      <c r="AM204" s="228"/>
      <c r="AN204" s="228"/>
      <c r="AO204" s="228"/>
      <c r="AP204" s="228"/>
      <c r="AQ204" s="228"/>
      <c r="AR204" s="228"/>
      <c r="AS204" s="228"/>
      <c r="AT204" s="228"/>
      <c r="AV204" s="228"/>
      <c r="AX204" s="228"/>
      <c r="AZ204" s="228"/>
      <c r="BB204" s="228"/>
      <c r="BD204" s="228"/>
      <c r="BF204" s="228"/>
      <c r="BH204" s="228"/>
      <c r="BJ204" s="228"/>
      <c r="BL204" s="228"/>
      <c r="BN204" s="228"/>
      <c r="BP204" s="228"/>
      <c r="BR204" s="228"/>
      <c r="BT204" s="228"/>
      <c r="BV204" s="228"/>
      <c r="BX204" s="228"/>
      <c r="BZ204" s="228"/>
      <c r="CB204" s="228"/>
      <c r="CD204" s="228"/>
      <c r="CF204" s="228"/>
    </row>
    <row r="205" spans="4:84">
      <c r="D205" s="228"/>
      <c r="E205" s="228"/>
      <c r="F205" s="228"/>
      <c r="G205" s="159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  <c r="AE205" s="228"/>
      <c r="AF205" s="228"/>
      <c r="AG205" s="228"/>
      <c r="AH205" s="228"/>
      <c r="AI205" s="228"/>
      <c r="AJ205" s="228"/>
      <c r="AK205" s="228"/>
      <c r="AL205" s="228"/>
      <c r="AM205" s="228"/>
      <c r="AN205" s="228"/>
      <c r="AO205" s="228"/>
      <c r="AP205" s="228"/>
      <c r="AQ205" s="228"/>
      <c r="AR205" s="228"/>
      <c r="AS205" s="228"/>
      <c r="AT205" s="228"/>
      <c r="AV205" s="228"/>
      <c r="AX205" s="228"/>
      <c r="AZ205" s="228"/>
      <c r="BB205" s="228"/>
      <c r="BD205" s="228"/>
      <c r="BF205" s="228"/>
      <c r="BH205" s="228"/>
      <c r="BJ205" s="228"/>
      <c r="BL205" s="228"/>
      <c r="BN205" s="228"/>
      <c r="BP205" s="228"/>
      <c r="BR205" s="228"/>
      <c r="BT205" s="228"/>
      <c r="BV205" s="228"/>
      <c r="BX205" s="228"/>
      <c r="BZ205" s="228"/>
      <c r="CB205" s="228"/>
      <c r="CD205" s="228"/>
      <c r="CF205" s="228"/>
    </row>
    <row r="206" spans="4:84">
      <c r="D206" s="228"/>
      <c r="E206" s="228"/>
      <c r="F206" s="228"/>
      <c r="G206" s="159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  <c r="AE206" s="228"/>
      <c r="AF206" s="228"/>
      <c r="AG206" s="228"/>
      <c r="AH206" s="228"/>
      <c r="AI206" s="228"/>
      <c r="AJ206" s="228"/>
      <c r="AK206" s="228"/>
      <c r="AL206" s="228"/>
      <c r="AM206" s="228"/>
      <c r="AN206" s="228"/>
      <c r="AO206" s="228"/>
      <c r="AP206" s="228"/>
      <c r="AQ206" s="228"/>
      <c r="AR206" s="228"/>
      <c r="AS206" s="228"/>
      <c r="AT206" s="228"/>
      <c r="AV206" s="228"/>
      <c r="AX206" s="228"/>
      <c r="AZ206" s="228"/>
      <c r="BB206" s="228"/>
      <c r="BD206" s="228"/>
      <c r="BF206" s="228"/>
      <c r="BH206" s="228"/>
      <c r="BJ206" s="228"/>
      <c r="BL206" s="228"/>
      <c r="BN206" s="228"/>
      <c r="BP206" s="228"/>
      <c r="BR206" s="228"/>
      <c r="BT206" s="228"/>
      <c r="BV206" s="228"/>
      <c r="BX206" s="228"/>
      <c r="BZ206" s="228"/>
      <c r="CB206" s="228"/>
      <c r="CD206" s="228"/>
      <c r="CF206" s="228"/>
    </row>
    <row r="207" spans="4:84">
      <c r="D207" s="228"/>
      <c r="E207" s="228"/>
      <c r="F207" s="228"/>
      <c r="G207" s="159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  <c r="AE207" s="228"/>
      <c r="AF207" s="228"/>
      <c r="AG207" s="228"/>
      <c r="AH207" s="228"/>
      <c r="AI207" s="228"/>
      <c r="AJ207" s="228"/>
      <c r="AK207" s="228"/>
      <c r="AL207" s="228"/>
      <c r="AM207" s="228"/>
      <c r="AN207" s="228"/>
      <c r="AO207" s="228"/>
      <c r="AP207" s="228"/>
      <c r="AQ207" s="228"/>
      <c r="AR207" s="228"/>
      <c r="AS207" s="228"/>
      <c r="AT207" s="228"/>
      <c r="AV207" s="228"/>
      <c r="AX207" s="228"/>
      <c r="AZ207" s="228"/>
      <c r="BB207" s="228"/>
      <c r="BD207" s="228"/>
      <c r="BF207" s="228"/>
      <c r="BH207" s="228"/>
      <c r="BJ207" s="228"/>
      <c r="BL207" s="228"/>
      <c r="BN207" s="228"/>
      <c r="BP207" s="228"/>
      <c r="BR207" s="228"/>
      <c r="BT207" s="228"/>
      <c r="BV207" s="228"/>
      <c r="BX207" s="228"/>
      <c r="BZ207" s="228"/>
      <c r="CB207" s="228"/>
      <c r="CD207" s="228"/>
      <c r="CF207" s="228"/>
    </row>
    <row r="208" spans="4:84">
      <c r="D208" s="228"/>
      <c r="E208" s="228"/>
      <c r="F208" s="228"/>
      <c r="G208" s="159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  <c r="AE208" s="228"/>
      <c r="AF208" s="228"/>
      <c r="AG208" s="228"/>
      <c r="AH208" s="228"/>
      <c r="AI208" s="228"/>
      <c r="AJ208" s="228"/>
      <c r="AK208" s="228"/>
      <c r="AL208" s="228"/>
      <c r="AM208" s="228"/>
      <c r="AN208" s="228"/>
      <c r="AO208" s="228"/>
      <c r="AP208" s="228"/>
      <c r="AQ208" s="228"/>
      <c r="AR208" s="228"/>
      <c r="AS208" s="228"/>
      <c r="AT208" s="228"/>
      <c r="AV208" s="228"/>
      <c r="AX208" s="228"/>
      <c r="AZ208" s="228"/>
      <c r="BB208" s="228"/>
      <c r="BD208" s="228"/>
      <c r="BF208" s="228"/>
      <c r="BH208" s="228"/>
      <c r="BJ208" s="228"/>
      <c r="BL208" s="228"/>
      <c r="BN208" s="228"/>
      <c r="BP208" s="228"/>
      <c r="BR208" s="228"/>
      <c r="BT208" s="228"/>
      <c r="BV208" s="228"/>
      <c r="BX208" s="228"/>
      <c r="BZ208" s="228"/>
      <c r="CB208" s="228"/>
      <c r="CD208" s="228"/>
      <c r="CF208" s="228"/>
    </row>
    <row r="209" spans="4:84">
      <c r="D209" s="228"/>
      <c r="E209" s="228"/>
      <c r="F209" s="228"/>
      <c r="G209" s="159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  <c r="AE209" s="228"/>
      <c r="AF209" s="228"/>
      <c r="AG209" s="228"/>
      <c r="AH209" s="228"/>
      <c r="AI209" s="228"/>
      <c r="AJ209" s="228"/>
      <c r="AK209" s="228"/>
      <c r="AL209" s="228"/>
      <c r="AM209" s="228"/>
      <c r="AN209" s="228"/>
      <c r="AO209" s="228"/>
      <c r="AP209" s="228"/>
      <c r="AQ209" s="228"/>
      <c r="AR209" s="228"/>
      <c r="AS209" s="228"/>
      <c r="AT209" s="228"/>
      <c r="AV209" s="228"/>
      <c r="AX209" s="228"/>
      <c r="AZ209" s="228"/>
      <c r="BB209" s="228"/>
      <c r="BD209" s="228"/>
      <c r="BF209" s="228"/>
      <c r="BH209" s="228"/>
      <c r="BJ209" s="228"/>
      <c r="BL209" s="228"/>
      <c r="BN209" s="228"/>
      <c r="BP209" s="228"/>
      <c r="BR209" s="228"/>
      <c r="BT209" s="228"/>
      <c r="BV209" s="228"/>
      <c r="BX209" s="228"/>
      <c r="BZ209" s="228"/>
      <c r="CB209" s="228"/>
      <c r="CD209" s="228"/>
      <c r="CF209" s="228"/>
    </row>
    <row r="210" spans="4:84">
      <c r="D210" s="228"/>
      <c r="E210" s="228"/>
      <c r="F210" s="228"/>
      <c r="G210" s="159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  <c r="AE210" s="228"/>
      <c r="AF210" s="228"/>
      <c r="AG210" s="228"/>
      <c r="AH210" s="228"/>
      <c r="AI210" s="228"/>
      <c r="AJ210" s="228"/>
      <c r="AK210" s="228"/>
      <c r="AL210" s="228"/>
      <c r="AM210" s="228"/>
      <c r="AN210" s="228"/>
      <c r="AO210" s="228"/>
      <c r="AP210" s="228"/>
      <c r="AQ210" s="228"/>
      <c r="AR210" s="228"/>
      <c r="AS210" s="228"/>
      <c r="AT210" s="228"/>
      <c r="AV210" s="228"/>
      <c r="AX210" s="228"/>
      <c r="AZ210" s="228"/>
      <c r="BB210" s="228"/>
      <c r="BD210" s="228"/>
      <c r="BF210" s="228"/>
      <c r="BH210" s="228"/>
      <c r="BJ210" s="228"/>
      <c r="BL210" s="228"/>
      <c r="BN210" s="228"/>
      <c r="BP210" s="228"/>
      <c r="BR210" s="228"/>
      <c r="BT210" s="228"/>
      <c r="BV210" s="228"/>
      <c r="BX210" s="228"/>
      <c r="BZ210" s="228"/>
      <c r="CB210" s="228"/>
      <c r="CD210" s="228"/>
      <c r="CF210" s="228"/>
    </row>
    <row r="211" spans="4:84">
      <c r="D211" s="228"/>
      <c r="E211" s="228"/>
      <c r="F211" s="228"/>
      <c r="G211" s="159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  <c r="AE211" s="228"/>
      <c r="AF211" s="228"/>
      <c r="AG211" s="228"/>
      <c r="AH211" s="228"/>
      <c r="AI211" s="228"/>
      <c r="AJ211" s="228"/>
      <c r="AK211" s="228"/>
      <c r="AL211" s="228"/>
      <c r="AM211" s="228"/>
      <c r="AN211" s="228"/>
      <c r="AO211" s="228"/>
      <c r="AP211" s="228"/>
      <c r="AQ211" s="228"/>
      <c r="AR211" s="228"/>
      <c r="AS211" s="228"/>
      <c r="AT211" s="228"/>
      <c r="AV211" s="228"/>
      <c r="AX211" s="228"/>
      <c r="AZ211" s="228"/>
      <c r="BB211" s="228"/>
      <c r="BD211" s="228"/>
      <c r="BF211" s="228"/>
      <c r="BH211" s="228"/>
      <c r="BJ211" s="228"/>
      <c r="BL211" s="228"/>
      <c r="BN211" s="228"/>
      <c r="BP211" s="228"/>
      <c r="BR211" s="228"/>
      <c r="BT211" s="228"/>
      <c r="BV211" s="228"/>
      <c r="BX211" s="228"/>
      <c r="BZ211" s="228"/>
      <c r="CB211" s="228"/>
      <c r="CD211" s="228"/>
      <c r="CF211" s="228"/>
    </row>
    <row r="212" spans="4:84">
      <c r="D212" s="228"/>
      <c r="E212" s="228"/>
      <c r="F212" s="228"/>
      <c r="G212" s="159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  <c r="AE212" s="228"/>
      <c r="AF212" s="228"/>
      <c r="AG212" s="228"/>
      <c r="AH212" s="228"/>
      <c r="AI212" s="228"/>
      <c r="AJ212" s="228"/>
      <c r="AK212" s="228"/>
      <c r="AL212" s="228"/>
      <c r="AM212" s="228"/>
      <c r="AN212" s="228"/>
      <c r="AO212" s="228"/>
      <c r="AP212" s="228"/>
      <c r="AQ212" s="228"/>
      <c r="AR212" s="228"/>
      <c r="AS212" s="228"/>
      <c r="AT212" s="228"/>
      <c r="AV212" s="228"/>
      <c r="AX212" s="228"/>
      <c r="AZ212" s="228"/>
      <c r="BB212" s="228"/>
      <c r="BD212" s="228"/>
      <c r="BF212" s="228"/>
      <c r="BH212" s="228"/>
      <c r="BJ212" s="228"/>
      <c r="BL212" s="228"/>
      <c r="BN212" s="228"/>
      <c r="BP212" s="228"/>
      <c r="BR212" s="228"/>
      <c r="BT212" s="228"/>
      <c r="BV212" s="228"/>
      <c r="BX212" s="228"/>
      <c r="BZ212" s="228"/>
      <c r="CB212" s="228"/>
      <c r="CD212" s="228"/>
      <c r="CF212" s="228"/>
    </row>
    <row r="213" spans="4:84">
      <c r="D213" s="228"/>
      <c r="E213" s="228"/>
      <c r="F213" s="228"/>
      <c r="G213" s="159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  <c r="AE213" s="228"/>
      <c r="AF213" s="228"/>
      <c r="AG213" s="228"/>
      <c r="AH213" s="228"/>
      <c r="AI213" s="228"/>
      <c r="AJ213" s="228"/>
      <c r="AK213" s="228"/>
      <c r="AL213" s="228"/>
      <c r="AM213" s="228"/>
      <c r="AN213" s="228"/>
      <c r="AO213" s="228"/>
      <c r="AP213" s="228"/>
      <c r="AQ213" s="228"/>
      <c r="AR213" s="228"/>
      <c r="AS213" s="228"/>
      <c r="AT213" s="228"/>
      <c r="AV213" s="228"/>
      <c r="AX213" s="228"/>
      <c r="AZ213" s="228"/>
      <c r="BB213" s="228"/>
      <c r="BD213" s="228"/>
      <c r="BF213" s="228"/>
      <c r="BH213" s="228"/>
      <c r="BJ213" s="228"/>
      <c r="BL213" s="228"/>
      <c r="BN213" s="228"/>
      <c r="BP213" s="228"/>
      <c r="BR213" s="228"/>
      <c r="BT213" s="228"/>
      <c r="BV213" s="228"/>
      <c r="BX213" s="228"/>
      <c r="BZ213" s="228"/>
      <c r="CB213" s="228"/>
      <c r="CD213" s="228"/>
      <c r="CF213" s="228"/>
    </row>
    <row r="214" spans="4:84">
      <c r="D214" s="228"/>
      <c r="E214" s="228"/>
      <c r="F214" s="228"/>
      <c r="G214" s="159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  <c r="AE214" s="228"/>
      <c r="AF214" s="228"/>
      <c r="AG214" s="228"/>
      <c r="AH214" s="228"/>
      <c r="AI214" s="228"/>
      <c r="AJ214" s="228"/>
      <c r="AK214" s="228"/>
      <c r="AL214" s="228"/>
      <c r="AM214" s="228"/>
      <c r="AN214" s="228"/>
      <c r="AO214" s="228"/>
      <c r="AP214" s="228"/>
      <c r="AQ214" s="228"/>
      <c r="AR214" s="228"/>
      <c r="AS214" s="228"/>
      <c r="AT214" s="228"/>
      <c r="AV214" s="228"/>
      <c r="AX214" s="228"/>
      <c r="AZ214" s="228"/>
      <c r="BB214" s="228"/>
      <c r="BD214" s="228"/>
      <c r="BF214" s="228"/>
      <c r="BH214" s="228"/>
      <c r="BJ214" s="228"/>
      <c r="BL214" s="228"/>
      <c r="BN214" s="228"/>
      <c r="BP214" s="228"/>
      <c r="BR214" s="228"/>
      <c r="BT214" s="228"/>
      <c r="BV214" s="228"/>
      <c r="BX214" s="228"/>
      <c r="BZ214" s="228"/>
      <c r="CB214" s="228"/>
      <c r="CD214" s="228"/>
      <c r="CF214" s="228"/>
    </row>
    <row r="215" spans="4:84">
      <c r="D215" s="228"/>
      <c r="E215" s="228"/>
      <c r="F215" s="228"/>
      <c r="G215" s="159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  <c r="AE215" s="228"/>
      <c r="AF215" s="228"/>
      <c r="AG215" s="228"/>
      <c r="AH215" s="228"/>
      <c r="AI215" s="228"/>
      <c r="AJ215" s="228"/>
      <c r="AK215" s="228"/>
      <c r="AL215" s="228"/>
      <c r="AM215" s="228"/>
      <c r="AN215" s="228"/>
      <c r="AO215" s="228"/>
      <c r="AP215" s="228"/>
      <c r="AQ215" s="228"/>
      <c r="AR215" s="228"/>
      <c r="AS215" s="228"/>
      <c r="AT215" s="228"/>
      <c r="AV215" s="228"/>
      <c r="AX215" s="228"/>
      <c r="AZ215" s="228"/>
      <c r="BB215" s="228"/>
      <c r="BD215" s="228"/>
      <c r="BF215" s="228"/>
      <c r="BH215" s="228"/>
      <c r="BJ215" s="228"/>
      <c r="BL215" s="228"/>
      <c r="BN215" s="228"/>
      <c r="BP215" s="228"/>
      <c r="BR215" s="228"/>
      <c r="BT215" s="228"/>
      <c r="BV215" s="228"/>
      <c r="BX215" s="228"/>
      <c r="BZ215" s="228"/>
      <c r="CB215" s="228"/>
      <c r="CD215" s="228"/>
      <c r="CF215" s="228"/>
    </row>
    <row r="216" spans="4:84">
      <c r="D216" s="228"/>
      <c r="E216" s="228"/>
      <c r="F216" s="228"/>
      <c r="G216" s="159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  <c r="AE216" s="228"/>
      <c r="AF216" s="228"/>
      <c r="AG216" s="228"/>
      <c r="AH216" s="228"/>
      <c r="AI216" s="228"/>
      <c r="AJ216" s="228"/>
      <c r="AK216" s="228"/>
      <c r="AL216" s="228"/>
      <c r="AM216" s="228"/>
      <c r="AN216" s="228"/>
      <c r="AO216" s="228"/>
      <c r="AP216" s="228"/>
      <c r="AQ216" s="228"/>
      <c r="AR216" s="228"/>
      <c r="AS216" s="228"/>
      <c r="AT216" s="228"/>
      <c r="AV216" s="228"/>
      <c r="AX216" s="228"/>
      <c r="AZ216" s="228"/>
      <c r="BB216" s="228"/>
      <c r="BD216" s="228"/>
      <c r="BF216" s="228"/>
      <c r="BH216" s="228"/>
      <c r="BJ216" s="228"/>
      <c r="BL216" s="228"/>
      <c r="BN216" s="228"/>
      <c r="BP216" s="228"/>
      <c r="BR216" s="228"/>
      <c r="BT216" s="228"/>
      <c r="BV216" s="228"/>
      <c r="BX216" s="228"/>
      <c r="BZ216" s="228"/>
      <c r="CB216" s="228"/>
      <c r="CD216" s="228"/>
      <c r="CF216" s="228"/>
    </row>
    <row r="217" spans="4:84">
      <c r="D217" s="228"/>
      <c r="E217" s="228"/>
      <c r="F217" s="228"/>
      <c r="G217" s="159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  <c r="AE217" s="228"/>
      <c r="AF217" s="228"/>
      <c r="AG217" s="228"/>
      <c r="AH217" s="228"/>
      <c r="AI217" s="228"/>
      <c r="AJ217" s="228"/>
      <c r="AK217" s="228"/>
      <c r="AL217" s="228"/>
      <c r="AM217" s="228"/>
      <c r="AN217" s="228"/>
      <c r="AO217" s="228"/>
      <c r="AP217" s="228"/>
      <c r="AQ217" s="228"/>
      <c r="AR217" s="228"/>
      <c r="AS217" s="228"/>
      <c r="AT217" s="228"/>
      <c r="AV217" s="228"/>
      <c r="AX217" s="228"/>
      <c r="AZ217" s="228"/>
      <c r="BB217" s="228"/>
      <c r="BD217" s="228"/>
      <c r="BF217" s="228"/>
      <c r="BH217" s="228"/>
      <c r="BJ217" s="228"/>
      <c r="BL217" s="228"/>
      <c r="BN217" s="228"/>
      <c r="BP217" s="228"/>
      <c r="BR217" s="228"/>
      <c r="BT217" s="228"/>
      <c r="BV217" s="228"/>
      <c r="BX217" s="228"/>
      <c r="BZ217" s="228"/>
      <c r="CB217" s="228"/>
      <c r="CD217" s="228"/>
      <c r="CF217" s="228"/>
    </row>
    <row r="218" spans="4:84">
      <c r="D218" s="228"/>
      <c r="E218" s="228"/>
      <c r="F218" s="228"/>
      <c r="G218" s="159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  <c r="AC218" s="228"/>
      <c r="AD218" s="228"/>
      <c r="AE218" s="228"/>
      <c r="AF218" s="228"/>
      <c r="AG218" s="228"/>
      <c r="AH218" s="228"/>
      <c r="AI218" s="228"/>
      <c r="AJ218" s="228"/>
      <c r="AK218" s="228"/>
      <c r="AL218" s="228"/>
      <c r="AM218" s="228"/>
      <c r="AN218" s="228"/>
      <c r="AO218" s="228"/>
      <c r="AP218" s="228"/>
      <c r="AQ218" s="228"/>
      <c r="AR218" s="228"/>
      <c r="AS218" s="228"/>
      <c r="AT218" s="228"/>
      <c r="AV218" s="228"/>
      <c r="AX218" s="228"/>
      <c r="AZ218" s="228"/>
      <c r="BB218" s="228"/>
      <c r="BD218" s="228"/>
      <c r="BF218" s="228"/>
      <c r="BH218" s="228"/>
      <c r="BJ218" s="228"/>
      <c r="BL218" s="228"/>
      <c r="BN218" s="228"/>
      <c r="BP218" s="228"/>
      <c r="BR218" s="228"/>
      <c r="BT218" s="228"/>
      <c r="BV218" s="228"/>
      <c r="BX218" s="228"/>
      <c r="BZ218" s="228"/>
      <c r="CB218" s="228"/>
      <c r="CD218" s="228"/>
      <c r="CF218" s="228"/>
    </row>
    <row r="219" spans="4:84">
      <c r="D219" s="228"/>
      <c r="E219" s="228"/>
      <c r="F219" s="228"/>
      <c r="G219" s="159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  <c r="AC219" s="228"/>
      <c r="AD219" s="228"/>
      <c r="AE219" s="228"/>
      <c r="AF219" s="228"/>
      <c r="AG219" s="228"/>
      <c r="AH219" s="228"/>
      <c r="AI219" s="228"/>
      <c r="AJ219" s="228"/>
      <c r="AK219" s="228"/>
      <c r="AL219" s="228"/>
      <c r="AM219" s="228"/>
      <c r="AN219" s="228"/>
      <c r="AO219" s="228"/>
      <c r="AP219" s="228"/>
      <c r="AQ219" s="228"/>
      <c r="AR219" s="228"/>
      <c r="AS219" s="228"/>
      <c r="AT219" s="228"/>
      <c r="AV219" s="228"/>
      <c r="AX219" s="228"/>
      <c r="AZ219" s="228"/>
      <c r="BB219" s="228"/>
      <c r="BD219" s="228"/>
      <c r="BF219" s="228"/>
      <c r="BH219" s="228"/>
      <c r="BJ219" s="228"/>
      <c r="BL219" s="228"/>
      <c r="BN219" s="228"/>
      <c r="BP219" s="228"/>
      <c r="BR219" s="228"/>
      <c r="BT219" s="228"/>
      <c r="BV219" s="228"/>
      <c r="BX219" s="228"/>
      <c r="BZ219" s="228"/>
      <c r="CB219" s="228"/>
      <c r="CD219" s="228"/>
      <c r="CF219" s="228"/>
    </row>
    <row r="220" spans="4:84">
      <c r="D220" s="228"/>
      <c r="E220" s="228"/>
      <c r="F220" s="228"/>
      <c r="G220" s="159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  <c r="AC220" s="228"/>
      <c r="AD220" s="228"/>
      <c r="AE220" s="228"/>
      <c r="AF220" s="228"/>
      <c r="AG220" s="228"/>
      <c r="AH220" s="228"/>
      <c r="AI220" s="228"/>
      <c r="AJ220" s="228"/>
      <c r="AK220" s="228"/>
      <c r="AL220" s="228"/>
      <c r="AM220" s="228"/>
      <c r="AN220" s="228"/>
      <c r="AO220" s="228"/>
      <c r="AP220" s="228"/>
      <c r="AQ220" s="228"/>
      <c r="AR220" s="228"/>
      <c r="AS220" s="228"/>
      <c r="AT220" s="228"/>
      <c r="AV220" s="228"/>
      <c r="AX220" s="228"/>
      <c r="AZ220" s="228"/>
      <c r="BB220" s="228"/>
      <c r="BD220" s="228"/>
      <c r="BF220" s="228"/>
      <c r="BH220" s="228"/>
      <c r="BJ220" s="228"/>
      <c r="BL220" s="228"/>
      <c r="BN220" s="228"/>
      <c r="BP220" s="228"/>
      <c r="BR220" s="228"/>
      <c r="BT220" s="228"/>
      <c r="BV220" s="228"/>
      <c r="BX220" s="228"/>
      <c r="BZ220" s="228"/>
      <c r="CB220" s="228"/>
      <c r="CD220" s="228"/>
      <c r="CF220" s="228"/>
    </row>
    <row r="221" spans="4:84">
      <c r="D221" s="228"/>
      <c r="E221" s="228"/>
      <c r="F221" s="228"/>
      <c r="G221" s="159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  <c r="AC221" s="228"/>
      <c r="AD221" s="228"/>
      <c r="AE221" s="228"/>
      <c r="AF221" s="228"/>
      <c r="AG221" s="228"/>
      <c r="AH221" s="228"/>
      <c r="AI221" s="228"/>
      <c r="AJ221" s="228"/>
      <c r="AK221" s="228"/>
      <c r="AL221" s="228"/>
      <c r="AM221" s="228"/>
      <c r="AN221" s="228"/>
      <c r="AO221" s="228"/>
      <c r="AP221" s="228"/>
      <c r="AQ221" s="228"/>
      <c r="AR221" s="228"/>
      <c r="AS221" s="228"/>
      <c r="AT221" s="228"/>
      <c r="AV221" s="228"/>
      <c r="AX221" s="228"/>
      <c r="AZ221" s="228"/>
      <c r="BB221" s="228"/>
      <c r="BD221" s="228"/>
      <c r="BF221" s="228"/>
      <c r="BH221" s="228"/>
      <c r="BJ221" s="228"/>
      <c r="BL221" s="228"/>
      <c r="BN221" s="228"/>
      <c r="BP221" s="228"/>
      <c r="BR221" s="228"/>
      <c r="BT221" s="228"/>
      <c r="BV221" s="228"/>
      <c r="BX221" s="228"/>
      <c r="BZ221" s="228"/>
      <c r="CB221" s="228"/>
      <c r="CD221" s="228"/>
      <c r="CF221" s="228"/>
    </row>
    <row r="222" spans="4:84">
      <c r="D222" s="228"/>
      <c r="E222" s="228"/>
      <c r="F222" s="228"/>
      <c r="G222" s="159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  <c r="AC222" s="228"/>
      <c r="AD222" s="228"/>
      <c r="AE222" s="228"/>
      <c r="AF222" s="228"/>
      <c r="AG222" s="228"/>
      <c r="AH222" s="228"/>
      <c r="AI222" s="228"/>
      <c r="AJ222" s="228"/>
      <c r="AK222" s="228"/>
      <c r="AL222" s="228"/>
      <c r="AM222" s="228"/>
      <c r="AN222" s="228"/>
      <c r="AO222" s="228"/>
      <c r="AP222" s="228"/>
      <c r="AQ222" s="228"/>
      <c r="AR222" s="228"/>
      <c r="AS222" s="228"/>
      <c r="AT222" s="228"/>
      <c r="AV222" s="228"/>
      <c r="AX222" s="228"/>
      <c r="AZ222" s="228"/>
      <c r="BB222" s="228"/>
      <c r="BD222" s="228"/>
      <c r="BF222" s="228"/>
      <c r="BH222" s="228"/>
      <c r="BJ222" s="228"/>
      <c r="BL222" s="228"/>
      <c r="BN222" s="228"/>
      <c r="BP222" s="228"/>
      <c r="BR222" s="228"/>
      <c r="BT222" s="228"/>
      <c r="BV222" s="228"/>
      <c r="BX222" s="228"/>
      <c r="BZ222" s="228"/>
      <c r="CB222" s="228"/>
      <c r="CD222" s="228"/>
      <c r="CF222" s="228"/>
    </row>
    <row r="223" spans="4:84">
      <c r="D223" s="228"/>
      <c r="E223" s="228"/>
      <c r="F223" s="228"/>
      <c r="G223" s="159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  <c r="AC223" s="228"/>
      <c r="AD223" s="228"/>
      <c r="AE223" s="228"/>
      <c r="AF223" s="228"/>
      <c r="AG223" s="228"/>
      <c r="AH223" s="228"/>
      <c r="AI223" s="228"/>
      <c r="AJ223" s="228"/>
      <c r="AK223" s="228"/>
      <c r="AL223" s="228"/>
      <c r="AM223" s="228"/>
      <c r="AN223" s="228"/>
      <c r="AO223" s="228"/>
      <c r="AP223" s="228"/>
      <c r="AQ223" s="228"/>
      <c r="AR223" s="228"/>
      <c r="AS223" s="228"/>
      <c r="AT223" s="228"/>
      <c r="AV223" s="228"/>
      <c r="AX223" s="228"/>
      <c r="AZ223" s="228"/>
      <c r="BB223" s="228"/>
      <c r="BD223" s="228"/>
      <c r="BF223" s="228"/>
      <c r="BH223" s="228"/>
      <c r="BJ223" s="228"/>
      <c r="BL223" s="228"/>
      <c r="BN223" s="228"/>
      <c r="BP223" s="228"/>
      <c r="BR223" s="228"/>
      <c r="BT223" s="228"/>
      <c r="BV223" s="228"/>
      <c r="BX223" s="228"/>
      <c r="BZ223" s="228"/>
      <c r="CB223" s="228"/>
      <c r="CD223" s="228"/>
      <c r="CF223" s="228"/>
    </row>
    <row r="224" spans="4:84">
      <c r="D224" s="228"/>
      <c r="E224" s="228"/>
      <c r="F224" s="228"/>
      <c r="G224" s="159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  <c r="AC224" s="228"/>
      <c r="AD224" s="228"/>
      <c r="AE224" s="228"/>
      <c r="AF224" s="228"/>
      <c r="AG224" s="228"/>
      <c r="AH224" s="228"/>
      <c r="AI224" s="228"/>
      <c r="AJ224" s="228"/>
      <c r="AK224" s="228"/>
      <c r="AL224" s="228"/>
      <c r="AM224" s="228"/>
      <c r="AN224" s="228"/>
      <c r="AO224" s="228"/>
      <c r="AP224" s="228"/>
      <c r="AQ224" s="228"/>
      <c r="AR224" s="228"/>
      <c r="AS224" s="228"/>
      <c r="AT224" s="228"/>
      <c r="AV224" s="228"/>
      <c r="AX224" s="228"/>
      <c r="AZ224" s="228"/>
      <c r="BB224" s="228"/>
      <c r="BD224" s="228"/>
      <c r="BF224" s="228"/>
      <c r="BH224" s="228"/>
      <c r="BJ224" s="228"/>
      <c r="BL224" s="228"/>
      <c r="BN224" s="228"/>
      <c r="BP224" s="228"/>
      <c r="BR224" s="228"/>
      <c r="BT224" s="228"/>
      <c r="BV224" s="228"/>
      <c r="BX224" s="228"/>
      <c r="BZ224" s="228"/>
      <c r="CB224" s="228"/>
      <c r="CD224" s="228"/>
      <c r="CF224" s="228"/>
    </row>
    <row r="225" spans="4:84">
      <c r="D225" s="228"/>
      <c r="E225" s="228"/>
      <c r="F225" s="228"/>
      <c r="G225" s="159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  <c r="AC225" s="228"/>
      <c r="AD225" s="228"/>
      <c r="AE225" s="228"/>
      <c r="AF225" s="228"/>
      <c r="AG225" s="228"/>
      <c r="AH225" s="228"/>
      <c r="AI225" s="228"/>
      <c r="AJ225" s="228"/>
      <c r="AK225" s="228"/>
      <c r="AL225" s="228"/>
      <c r="AM225" s="228"/>
      <c r="AN225" s="228"/>
      <c r="AO225" s="228"/>
      <c r="AP225" s="228"/>
      <c r="AQ225" s="228"/>
      <c r="AR225" s="228"/>
      <c r="AS225" s="228"/>
      <c r="AT225" s="228"/>
      <c r="AV225" s="228"/>
      <c r="AX225" s="228"/>
      <c r="AZ225" s="228"/>
      <c r="BB225" s="228"/>
      <c r="BD225" s="228"/>
      <c r="BF225" s="228"/>
      <c r="BH225" s="228"/>
      <c r="BJ225" s="228"/>
      <c r="BL225" s="228"/>
      <c r="BN225" s="228"/>
      <c r="BP225" s="228"/>
      <c r="BR225" s="228"/>
      <c r="BT225" s="228"/>
      <c r="BV225" s="228"/>
      <c r="BX225" s="228"/>
      <c r="BZ225" s="228"/>
      <c r="CB225" s="228"/>
      <c r="CD225" s="228"/>
      <c r="CF225" s="228"/>
    </row>
    <row r="226" spans="4:84">
      <c r="D226" s="228"/>
      <c r="E226" s="228"/>
      <c r="F226" s="228"/>
      <c r="G226" s="159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  <c r="AC226" s="228"/>
      <c r="AD226" s="228"/>
      <c r="AE226" s="228"/>
      <c r="AF226" s="228"/>
      <c r="AG226" s="228"/>
      <c r="AH226" s="228"/>
      <c r="AI226" s="228"/>
      <c r="AJ226" s="228"/>
      <c r="AK226" s="228"/>
      <c r="AL226" s="228"/>
      <c r="AM226" s="228"/>
      <c r="AN226" s="228"/>
      <c r="AO226" s="228"/>
      <c r="AP226" s="228"/>
      <c r="AQ226" s="228"/>
      <c r="AR226" s="228"/>
      <c r="AS226" s="228"/>
      <c r="AT226" s="228"/>
      <c r="AV226" s="228"/>
      <c r="AX226" s="228"/>
      <c r="AZ226" s="228"/>
      <c r="BB226" s="228"/>
      <c r="BD226" s="228"/>
      <c r="BF226" s="228"/>
      <c r="BH226" s="228"/>
      <c r="BJ226" s="228"/>
      <c r="BL226" s="228"/>
      <c r="BN226" s="228"/>
      <c r="BP226" s="228"/>
      <c r="BR226" s="228"/>
      <c r="BT226" s="228"/>
      <c r="BV226" s="228"/>
      <c r="BX226" s="228"/>
      <c r="BZ226" s="228"/>
      <c r="CB226" s="228"/>
      <c r="CD226" s="228"/>
      <c r="CF226" s="228"/>
    </row>
    <row r="227" spans="4:84">
      <c r="D227" s="228"/>
      <c r="E227" s="228"/>
      <c r="F227" s="228"/>
      <c r="G227" s="159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  <c r="AC227" s="228"/>
      <c r="AD227" s="228"/>
      <c r="AE227" s="228"/>
      <c r="AF227" s="228"/>
      <c r="AG227" s="228"/>
      <c r="AH227" s="228"/>
      <c r="AI227" s="228"/>
      <c r="AJ227" s="228"/>
      <c r="AK227" s="228"/>
      <c r="AL227" s="228"/>
      <c r="AM227" s="228"/>
      <c r="AN227" s="228"/>
      <c r="AO227" s="228"/>
      <c r="AP227" s="228"/>
      <c r="AQ227" s="228"/>
      <c r="AR227" s="228"/>
      <c r="AS227" s="228"/>
      <c r="AT227" s="228"/>
      <c r="AV227" s="228"/>
      <c r="AX227" s="228"/>
      <c r="AZ227" s="228"/>
      <c r="BB227" s="228"/>
      <c r="BD227" s="228"/>
      <c r="BF227" s="228"/>
      <c r="BH227" s="228"/>
      <c r="BJ227" s="228"/>
      <c r="BL227" s="228"/>
      <c r="BN227" s="228"/>
      <c r="BP227" s="228"/>
      <c r="BR227" s="228"/>
      <c r="BT227" s="228"/>
      <c r="BV227" s="228"/>
      <c r="BX227" s="228"/>
      <c r="BZ227" s="228"/>
      <c r="CB227" s="228"/>
      <c r="CD227" s="228"/>
      <c r="CF227" s="228"/>
    </row>
    <row r="228" spans="4:84">
      <c r="D228" s="228"/>
      <c r="E228" s="228"/>
      <c r="F228" s="228"/>
      <c r="G228" s="159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  <c r="AC228" s="228"/>
      <c r="AD228" s="228"/>
      <c r="AE228" s="228"/>
      <c r="AF228" s="228"/>
      <c r="AG228" s="228"/>
      <c r="AH228" s="228"/>
      <c r="AI228" s="228"/>
      <c r="AJ228" s="228"/>
      <c r="AK228" s="228"/>
      <c r="AL228" s="228"/>
      <c r="AM228" s="228"/>
      <c r="AN228" s="228"/>
      <c r="AO228" s="228"/>
      <c r="AP228" s="228"/>
      <c r="AQ228" s="228"/>
      <c r="AR228" s="228"/>
      <c r="AS228" s="228"/>
      <c r="AT228" s="228"/>
      <c r="AV228" s="228"/>
      <c r="AX228" s="228"/>
      <c r="AZ228" s="228"/>
      <c r="BB228" s="228"/>
      <c r="BD228" s="228"/>
      <c r="BF228" s="228"/>
      <c r="BH228" s="228"/>
      <c r="BJ228" s="228"/>
      <c r="BL228" s="228"/>
      <c r="BN228" s="228"/>
      <c r="BP228" s="228"/>
      <c r="BR228" s="228"/>
      <c r="BT228" s="228"/>
      <c r="BV228" s="228"/>
      <c r="BX228" s="228"/>
      <c r="BZ228" s="228"/>
      <c r="CB228" s="228"/>
      <c r="CD228" s="228"/>
      <c r="CF228" s="228"/>
    </row>
    <row r="229" spans="4:84">
      <c r="D229" s="228"/>
      <c r="E229" s="228"/>
      <c r="F229" s="228"/>
      <c r="G229" s="159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  <c r="AC229" s="228"/>
      <c r="AD229" s="228"/>
      <c r="AE229" s="228"/>
      <c r="AF229" s="228"/>
      <c r="AG229" s="228"/>
      <c r="AH229" s="228"/>
      <c r="AI229" s="228"/>
      <c r="AJ229" s="228"/>
      <c r="AK229" s="228"/>
      <c r="AL229" s="228"/>
      <c r="AM229" s="228"/>
      <c r="AN229" s="228"/>
      <c r="AO229" s="228"/>
      <c r="AP229" s="228"/>
      <c r="AQ229" s="228"/>
      <c r="AR229" s="228"/>
      <c r="AS229" s="228"/>
      <c r="AT229" s="228"/>
      <c r="AV229" s="228"/>
      <c r="AX229" s="228"/>
      <c r="AZ229" s="228"/>
      <c r="BB229" s="228"/>
      <c r="BD229" s="228"/>
      <c r="BF229" s="228"/>
      <c r="BH229" s="228"/>
      <c r="BJ229" s="228"/>
      <c r="BL229" s="228"/>
      <c r="BN229" s="228"/>
      <c r="BP229" s="228"/>
      <c r="BR229" s="228"/>
      <c r="BT229" s="228"/>
      <c r="BV229" s="228"/>
      <c r="BX229" s="228"/>
      <c r="BZ229" s="228"/>
      <c r="CB229" s="228"/>
      <c r="CD229" s="228"/>
      <c r="CF229" s="228"/>
    </row>
    <row r="230" spans="4:84">
      <c r="D230" s="228"/>
      <c r="E230" s="228"/>
      <c r="F230" s="228"/>
      <c r="G230" s="159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  <c r="AC230" s="228"/>
      <c r="AD230" s="228"/>
      <c r="AE230" s="228"/>
      <c r="AF230" s="228"/>
      <c r="AG230" s="228"/>
      <c r="AH230" s="228"/>
      <c r="AI230" s="228"/>
      <c r="AJ230" s="228"/>
      <c r="AK230" s="228"/>
      <c r="AL230" s="228"/>
      <c r="AM230" s="228"/>
      <c r="AN230" s="228"/>
      <c r="AO230" s="228"/>
      <c r="AP230" s="228"/>
      <c r="AQ230" s="228"/>
      <c r="AR230" s="228"/>
      <c r="AS230" s="228"/>
      <c r="AT230" s="228"/>
      <c r="AV230" s="228"/>
      <c r="AX230" s="228"/>
      <c r="AZ230" s="228"/>
      <c r="BB230" s="228"/>
      <c r="BD230" s="228"/>
      <c r="BF230" s="228"/>
      <c r="BH230" s="228"/>
      <c r="BJ230" s="228"/>
      <c r="BL230" s="228"/>
      <c r="BN230" s="228"/>
      <c r="BP230" s="228"/>
      <c r="BR230" s="228"/>
      <c r="BT230" s="228"/>
      <c r="BV230" s="228"/>
      <c r="BX230" s="228"/>
      <c r="BZ230" s="228"/>
      <c r="CB230" s="228"/>
      <c r="CD230" s="228"/>
      <c r="CF230" s="228"/>
    </row>
    <row r="231" spans="4:84">
      <c r="D231" s="228"/>
      <c r="E231" s="228"/>
      <c r="F231" s="228"/>
      <c r="G231" s="159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  <c r="AC231" s="228"/>
      <c r="AD231" s="228"/>
      <c r="AE231" s="228"/>
      <c r="AF231" s="228"/>
      <c r="AG231" s="228"/>
      <c r="AH231" s="228"/>
      <c r="AI231" s="228"/>
      <c r="AJ231" s="228"/>
      <c r="AK231" s="228"/>
      <c r="AL231" s="228"/>
      <c r="AM231" s="228"/>
      <c r="AN231" s="228"/>
      <c r="AO231" s="228"/>
      <c r="AP231" s="228"/>
      <c r="AQ231" s="228"/>
      <c r="AR231" s="228"/>
      <c r="AS231" s="228"/>
      <c r="AT231" s="228"/>
      <c r="AV231" s="228"/>
      <c r="AX231" s="228"/>
      <c r="AZ231" s="228"/>
      <c r="BB231" s="228"/>
      <c r="BD231" s="228"/>
      <c r="BF231" s="228"/>
      <c r="BH231" s="228"/>
      <c r="BJ231" s="228"/>
      <c r="BL231" s="228"/>
      <c r="BN231" s="228"/>
      <c r="BP231" s="228"/>
      <c r="BR231" s="228"/>
      <c r="BT231" s="228"/>
      <c r="BV231" s="228"/>
      <c r="BX231" s="228"/>
      <c r="BZ231" s="228"/>
      <c r="CB231" s="228"/>
      <c r="CD231" s="228"/>
      <c r="CF231" s="228"/>
    </row>
    <row r="232" spans="4:84">
      <c r="D232" s="228"/>
      <c r="E232" s="228"/>
      <c r="F232" s="228"/>
      <c r="G232" s="159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  <c r="AC232" s="228"/>
      <c r="AD232" s="228"/>
      <c r="AE232" s="228"/>
      <c r="AF232" s="228"/>
      <c r="AG232" s="228"/>
      <c r="AH232" s="228"/>
      <c r="AI232" s="228"/>
      <c r="AJ232" s="228"/>
      <c r="AK232" s="228"/>
      <c r="AL232" s="228"/>
      <c r="AM232" s="228"/>
      <c r="AN232" s="228"/>
      <c r="AO232" s="228"/>
      <c r="AP232" s="228"/>
      <c r="AQ232" s="228"/>
      <c r="AR232" s="228"/>
      <c r="AS232" s="228"/>
      <c r="AT232" s="228"/>
      <c r="AV232" s="228"/>
      <c r="AX232" s="228"/>
      <c r="AZ232" s="228"/>
      <c r="BB232" s="228"/>
      <c r="BD232" s="228"/>
      <c r="BF232" s="228"/>
      <c r="BH232" s="228"/>
      <c r="BJ232" s="228"/>
      <c r="BL232" s="228"/>
      <c r="BN232" s="228"/>
      <c r="BP232" s="228"/>
      <c r="BR232" s="228"/>
      <c r="BT232" s="228"/>
      <c r="BV232" s="228"/>
      <c r="BX232" s="228"/>
      <c r="BZ232" s="228"/>
      <c r="CB232" s="228"/>
      <c r="CD232" s="228"/>
      <c r="CF232" s="228"/>
    </row>
    <row r="233" spans="4:84">
      <c r="D233" s="228"/>
      <c r="E233" s="228"/>
      <c r="F233" s="228"/>
      <c r="G233" s="159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  <c r="AC233" s="228"/>
      <c r="AD233" s="228"/>
      <c r="AE233" s="228"/>
      <c r="AF233" s="228"/>
      <c r="AG233" s="228"/>
      <c r="AH233" s="228"/>
      <c r="AI233" s="228"/>
      <c r="AJ233" s="228"/>
      <c r="AK233" s="228"/>
      <c r="AL233" s="228"/>
      <c r="AM233" s="228"/>
      <c r="AN233" s="228"/>
      <c r="AO233" s="228"/>
      <c r="AP233" s="228"/>
      <c r="AQ233" s="228"/>
      <c r="AR233" s="228"/>
      <c r="AS233" s="228"/>
      <c r="AT233" s="228"/>
      <c r="AV233" s="228"/>
      <c r="AX233" s="228"/>
      <c r="AZ233" s="228"/>
      <c r="BB233" s="228"/>
      <c r="BD233" s="228"/>
      <c r="BF233" s="228"/>
      <c r="BH233" s="228"/>
      <c r="BJ233" s="228"/>
      <c r="BL233" s="228"/>
      <c r="BN233" s="228"/>
      <c r="BP233" s="228"/>
      <c r="BR233" s="228"/>
      <c r="BT233" s="228"/>
      <c r="BV233" s="228"/>
      <c r="BX233" s="228"/>
      <c r="BZ233" s="228"/>
      <c r="CB233" s="228"/>
      <c r="CD233" s="228"/>
      <c r="CF233" s="228"/>
    </row>
    <row r="234" spans="4:84">
      <c r="D234" s="228"/>
      <c r="E234" s="228"/>
      <c r="F234" s="228"/>
      <c r="G234" s="159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  <c r="AC234" s="228"/>
      <c r="AD234" s="228"/>
      <c r="AE234" s="228"/>
      <c r="AF234" s="228"/>
      <c r="AG234" s="228"/>
      <c r="AH234" s="228"/>
      <c r="AI234" s="228"/>
      <c r="AJ234" s="228"/>
      <c r="AK234" s="228"/>
      <c r="AL234" s="228"/>
      <c r="AM234" s="228"/>
      <c r="AN234" s="228"/>
      <c r="AO234" s="228"/>
      <c r="AP234" s="228"/>
      <c r="AQ234" s="228"/>
      <c r="AR234" s="228"/>
      <c r="AS234" s="228"/>
      <c r="AT234" s="228"/>
      <c r="AV234" s="228"/>
      <c r="AX234" s="228"/>
      <c r="AZ234" s="228"/>
      <c r="BB234" s="228"/>
      <c r="BD234" s="228"/>
      <c r="BF234" s="228"/>
      <c r="BH234" s="228"/>
      <c r="BJ234" s="228"/>
      <c r="BL234" s="228"/>
      <c r="BN234" s="228"/>
      <c r="BP234" s="228"/>
      <c r="BR234" s="228"/>
      <c r="BT234" s="228"/>
      <c r="BV234" s="228"/>
      <c r="BX234" s="228"/>
      <c r="BZ234" s="228"/>
      <c r="CB234" s="228"/>
      <c r="CD234" s="228"/>
      <c r="CF234" s="228"/>
    </row>
    <row r="235" spans="4:84">
      <c r="D235" s="228"/>
      <c r="E235" s="228"/>
      <c r="F235" s="228"/>
      <c r="G235" s="159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  <c r="AC235" s="228"/>
      <c r="AD235" s="228"/>
      <c r="AE235" s="228"/>
      <c r="AF235" s="228"/>
      <c r="AG235" s="228"/>
      <c r="AH235" s="228"/>
      <c r="AI235" s="228"/>
      <c r="AJ235" s="228"/>
      <c r="AK235" s="228"/>
      <c r="AL235" s="228"/>
      <c r="AM235" s="228"/>
      <c r="AN235" s="228"/>
      <c r="AO235" s="228"/>
      <c r="AP235" s="228"/>
      <c r="AQ235" s="228"/>
      <c r="AR235" s="228"/>
      <c r="AS235" s="228"/>
      <c r="AT235" s="228"/>
      <c r="AV235" s="228"/>
      <c r="AX235" s="228"/>
      <c r="AZ235" s="228"/>
      <c r="BB235" s="228"/>
      <c r="BD235" s="228"/>
      <c r="BF235" s="228"/>
      <c r="BH235" s="228"/>
      <c r="BJ235" s="228"/>
      <c r="BL235" s="228"/>
      <c r="BN235" s="228"/>
      <c r="BP235" s="228"/>
      <c r="BR235" s="228"/>
      <c r="BT235" s="228"/>
      <c r="BV235" s="228"/>
      <c r="BX235" s="228"/>
      <c r="BZ235" s="228"/>
      <c r="CB235" s="228"/>
      <c r="CD235" s="228"/>
      <c r="CF235" s="228"/>
    </row>
    <row r="236" spans="4:84">
      <c r="D236" s="228"/>
      <c r="E236" s="228"/>
      <c r="F236" s="228"/>
      <c r="G236" s="159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  <c r="AC236" s="228"/>
      <c r="AD236" s="228"/>
      <c r="AE236" s="228"/>
      <c r="AF236" s="228"/>
      <c r="AG236" s="228"/>
      <c r="AH236" s="228"/>
      <c r="AI236" s="228"/>
      <c r="AJ236" s="228"/>
      <c r="AK236" s="228"/>
      <c r="AL236" s="228"/>
      <c r="AM236" s="228"/>
      <c r="AN236" s="228"/>
      <c r="AO236" s="228"/>
      <c r="AP236" s="228"/>
      <c r="AQ236" s="228"/>
      <c r="AR236" s="228"/>
      <c r="AS236" s="228"/>
      <c r="AT236" s="228"/>
      <c r="AV236" s="228"/>
      <c r="AX236" s="228"/>
      <c r="AZ236" s="228"/>
      <c r="BB236" s="228"/>
      <c r="BD236" s="228"/>
      <c r="BF236" s="228"/>
      <c r="BH236" s="228"/>
      <c r="BJ236" s="228"/>
      <c r="BL236" s="228"/>
      <c r="BN236" s="228"/>
      <c r="BP236" s="228"/>
      <c r="BR236" s="228"/>
      <c r="BT236" s="228"/>
      <c r="BV236" s="228"/>
      <c r="BX236" s="228"/>
      <c r="BZ236" s="228"/>
      <c r="CB236" s="228"/>
      <c r="CD236" s="228"/>
      <c r="CF236" s="228"/>
    </row>
    <row r="237" spans="4:84">
      <c r="D237" s="228"/>
      <c r="E237" s="228"/>
      <c r="F237" s="228"/>
      <c r="G237" s="159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  <c r="AC237" s="228"/>
      <c r="AD237" s="228"/>
      <c r="AE237" s="228"/>
      <c r="AF237" s="228"/>
      <c r="AG237" s="228"/>
      <c r="AH237" s="228"/>
      <c r="AI237" s="228"/>
      <c r="AJ237" s="228"/>
      <c r="AK237" s="228"/>
      <c r="AL237" s="228"/>
      <c r="AM237" s="228"/>
      <c r="AN237" s="228"/>
      <c r="AO237" s="228"/>
      <c r="AP237" s="228"/>
      <c r="AQ237" s="228"/>
      <c r="AR237" s="228"/>
      <c r="AS237" s="228"/>
      <c r="AT237" s="228"/>
      <c r="AV237" s="228"/>
      <c r="AX237" s="228"/>
      <c r="AZ237" s="228"/>
      <c r="BB237" s="228"/>
      <c r="BD237" s="228"/>
      <c r="BF237" s="228"/>
      <c r="BH237" s="228"/>
      <c r="BJ237" s="228"/>
      <c r="BL237" s="228"/>
      <c r="BN237" s="228"/>
      <c r="BP237" s="228"/>
      <c r="BR237" s="228"/>
      <c r="BT237" s="228"/>
      <c r="BV237" s="228"/>
      <c r="BX237" s="228"/>
      <c r="BZ237" s="228"/>
      <c r="CB237" s="228"/>
      <c r="CD237" s="228"/>
      <c r="CF237" s="228"/>
    </row>
    <row r="238" spans="4:84">
      <c r="D238" s="228"/>
      <c r="E238" s="228"/>
      <c r="F238" s="228"/>
      <c r="G238" s="159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  <c r="AC238" s="228"/>
      <c r="AD238" s="228"/>
      <c r="AE238" s="228"/>
      <c r="AF238" s="228"/>
      <c r="AG238" s="228"/>
      <c r="AH238" s="228"/>
      <c r="AI238" s="228"/>
      <c r="AJ238" s="228"/>
      <c r="AK238" s="228"/>
      <c r="AL238" s="228"/>
      <c r="AM238" s="228"/>
      <c r="AN238" s="228"/>
      <c r="AO238" s="228"/>
      <c r="AP238" s="228"/>
      <c r="AQ238" s="228"/>
      <c r="AR238" s="228"/>
      <c r="AS238" s="228"/>
      <c r="AT238" s="228"/>
      <c r="AV238" s="228"/>
      <c r="AX238" s="228"/>
      <c r="AZ238" s="228"/>
      <c r="BB238" s="228"/>
      <c r="BD238" s="228"/>
      <c r="BF238" s="228"/>
      <c r="BH238" s="228"/>
      <c r="BJ238" s="228"/>
      <c r="BL238" s="228"/>
      <c r="BN238" s="228"/>
      <c r="BP238" s="228"/>
      <c r="BR238" s="228"/>
      <c r="BT238" s="228"/>
      <c r="BV238" s="228"/>
      <c r="BX238" s="228"/>
      <c r="BZ238" s="228"/>
      <c r="CB238" s="228"/>
      <c r="CD238" s="228"/>
      <c r="CF238" s="228"/>
    </row>
    <row r="239" spans="4:84">
      <c r="D239" s="228"/>
      <c r="E239" s="228"/>
      <c r="F239" s="228"/>
      <c r="G239" s="159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  <c r="AC239" s="228"/>
      <c r="AD239" s="228"/>
      <c r="AE239" s="228"/>
      <c r="AF239" s="228"/>
      <c r="AG239" s="228"/>
      <c r="AH239" s="228"/>
      <c r="AI239" s="228"/>
      <c r="AJ239" s="228"/>
      <c r="AK239" s="228"/>
      <c r="AL239" s="228"/>
      <c r="AM239" s="228"/>
      <c r="AN239" s="228"/>
      <c r="AO239" s="228"/>
      <c r="AP239" s="228"/>
      <c r="AQ239" s="228"/>
      <c r="AR239" s="228"/>
      <c r="AS239" s="228"/>
      <c r="AT239" s="228"/>
      <c r="AV239" s="228"/>
      <c r="AX239" s="228"/>
      <c r="AZ239" s="228"/>
      <c r="BB239" s="228"/>
      <c r="BD239" s="228"/>
      <c r="BF239" s="228"/>
      <c r="BH239" s="228"/>
      <c r="BJ239" s="228"/>
      <c r="BL239" s="228"/>
      <c r="BN239" s="228"/>
      <c r="BP239" s="228"/>
      <c r="BR239" s="228"/>
      <c r="BT239" s="228"/>
      <c r="BV239" s="228"/>
      <c r="BX239" s="228"/>
      <c r="BZ239" s="228"/>
      <c r="CB239" s="228"/>
      <c r="CD239" s="228"/>
      <c r="CF239" s="228"/>
    </row>
    <row r="240" spans="4:84">
      <c r="D240" s="228"/>
      <c r="E240" s="228"/>
      <c r="F240" s="228"/>
      <c r="G240" s="159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  <c r="AC240" s="228"/>
      <c r="AD240" s="228"/>
      <c r="AE240" s="228"/>
      <c r="AF240" s="228"/>
      <c r="AG240" s="228"/>
      <c r="AH240" s="228"/>
      <c r="AI240" s="228"/>
      <c r="AJ240" s="228"/>
      <c r="AK240" s="228"/>
      <c r="AL240" s="228"/>
      <c r="AM240" s="228"/>
      <c r="AN240" s="228"/>
      <c r="AO240" s="228"/>
      <c r="AP240" s="228"/>
      <c r="AQ240" s="228"/>
      <c r="AR240" s="228"/>
      <c r="AS240" s="228"/>
      <c r="AT240" s="228"/>
      <c r="AV240" s="228"/>
      <c r="AX240" s="228"/>
      <c r="AZ240" s="228"/>
      <c r="BB240" s="228"/>
      <c r="BD240" s="228"/>
      <c r="BF240" s="228"/>
      <c r="BH240" s="228"/>
      <c r="BJ240" s="228"/>
      <c r="BL240" s="228"/>
      <c r="BN240" s="228"/>
      <c r="BP240" s="228"/>
      <c r="BR240" s="228"/>
      <c r="BT240" s="228"/>
      <c r="BV240" s="228"/>
      <c r="BX240" s="228"/>
      <c r="BZ240" s="228"/>
      <c r="CB240" s="228"/>
      <c r="CD240" s="228"/>
      <c r="CF240" s="228"/>
    </row>
    <row r="241" spans="4:84">
      <c r="D241" s="228"/>
      <c r="E241" s="228"/>
      <c r="F241" s="228"/>
      <c r="G241" s="159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  <c r="AC241" s="228"/>
      <c r="AD241" s="228"/>
      <c r="AE241" s="228"/>
      <c r="AF241" s="228"/>
      <c r="AG241" s="228"/>
      <c r="AH241" s="228"/>
      <c r="AI241" s="228"/>
      <c r="AJ241" s="228"/>
      <c r="AK241" s="228"/>
      <c r="AL241" s="228"/>
      <c r="AM241" s="228"/>
      <c r="AN241" s="228"/>
      <c r="AO241" s="228"/>
      <c r="AP241" s="228"/>
      <c r="AQ241" s="228"/>
      <c r="AR241" s="228"/>
      <c r="AS241" s="228"/>
      <c r="AT241" s="228"/>
      <c r="AV241" s="228"/>
      <c r="AX241" s="228"/>
      <c r="AZ241" s="228"/>
      <c r="BB241" s="228"/>
      <c r="BD241" s="228"/>
      <c r="BF241" s="228"/>
      <c r="BH241" s="228"/>
      <c r="BJ241" s="228"/>
      <c r="BL241" s="228"/>
      <c r="BN241" s="228"/>
      <c r="BP241" s="228"/>
      <c r="BR241" s="228"/>
      <c r="BT241" s="228"/>
      <c r="BV241" s="228"/>
      <c r="BX241" s="228"/>
      <c r="BZ241" s="228"/>
      <c r="CB241" s="228"/>
      <c r="CD241" s="228"/>
      <c r="CF241" s="228"/>
    </row>
    <row r="242" spans="4:84">
      <c r="D242" s="228"/>
      <c r="E242" s="228"/>
      <c r="F242" s="228"/>
      <c r="G242" s="159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  <c r="AC242" s="228"/>
      <c r="AD242" s="228"/>
      <c r="AE242" s="228"/>
      <c r="AF242" s="228"/>
      <c r="AG242" s="228"/>
      <c r="AH242" s="228"/>
      <c r="AI242" s="228"/>
      <c r="AJ242" s="228"/>
      <c r="AK242" s="228"/>
      <c r="AL242" s="228"/>
      <c r="AM242" s="228"/>
      <c r="AN242" s="228"/>
      <c r="AO242" s="228"/>
      <c r="AP242" s="228"/>
      <c r="AQ242" s="228"/>
      <c r="AR242" s="228"/>
      <c r="AS242" s="228"/>
      <c r="AT242" s="228"/>
      <c r="AV242" s="228"/>
      <c r="AX242" s="228"/>
      <c r="AZ242" s="228"/>
      <c r="BB242" s="228"/>
      <c r="BD242" s="228"/>
      <c r="BF242" s="228"/>
      <c r="BH242" s="228"/>
      <c r="BJ242" s="228"/>
      <c r="BL242" s="228"/>
      <c r="BN242" s="228"/>
      <c r="BP242" s="228"/>
      <c r="BR242" s="228"/>
      <c r="BT242" s="228"/>
      <c r="BV242" s="228"/>
      <c r="BX242" s="228"/>
      <c r="BZ242" s="228"/>
      <c r="CB242" s="228"/>
      <c r="CD242" s="228"/>
      <c r="CF242" s="228"/>
    </row>
    <row r="243" spans="4:84">
      <c r="D243" s="228"/>
      <c r="E243" s="228"/>
      <c r="F243" s="228"/>
      <c r="G243" s="159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  <c r="AC243" s="228"/>
      <c r="AD243" s="228"/>
      <c r="AE243" s="228"/>
      <c r="AF243" s="228"/>
      <c r="AG243" s="228"/>
      <c r="AH243" s="228"/>
      <c r="AI243" s="228"/>
      <c r="AJ243" s="228"/>
      <c r="AK243" s="228"/>
      <c r="AL243" s="228"/>
      <c r="AM243" s="228"/>
      <c r="AN243" s="228"/>
      <c r="AO243" s="228"/>
      <c r="AP243" s="228"/>
      <c r="AQ243" s="228"/>
      <c r="AR243" s="228"/>
      <c r="AS243" s="228"/>
      <c r="AT243" s="228"/>
      <c r="AV243" s="228"/>
      <c r="AX243" s="228"/>
      <c r="AZ243" s="228"/>
      <c r="BB243" s="228"/>
      <c r="BD243" s="228"/>
      <c r="BF243" s="228"/>
      <c r="BH243" s="228"/>
      <c r="BJ243" s="228"/>
      <c r="BL243" s="228"/>
      <c r="BN243" s="228"/>
      <c r="BP243" s="228"/>
      <c r="BR243" s="228"/>
      <c r="BT243" s="228"/>
      <c r="BV243" s="228"/>
      <c r="BX243" s="228"/>
      <c r="BZ243" s="228"/>
      <c r="CB243" s="228"/>
      <c r="CD243" s="228"/>
      <c r="CF243" s="228"/>
    </row>
    <row r="244" spans="4:84">
      <c r="D244" s="228"/>
      <c r="E244" s="228"/>
      <c r="F244" s="228"/>
      <c r="G244" s="159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  <c r="AC244" s="228"/>
      <c r="AD244" s="228"/>
      <c r="AE244" s="228"/>
      <c r="AF244" s="228"/>
      <c r="AG244" s="228"/>
      <c r="AH244" s="228"/>
      <c r="AI244" s="228"/>
      <c r="AJ244" s="228"/>
      <c r="AK244" s="228"/>
      <c r="AL244" s="228"/>
      <c r="AM244" s="228"/>
      <c r="AN244" s="228"/>
      <c r="AO244" s="228"/>
      <c r="AP244" s="228"/>
      <c r="AQ244" s="228"/>
      <c r="AR244" s="228"/>
      <c r="AS244" s="228"/>
      <c r="AT244" s="228"/>
      <c r="AV244" s="228"/>
      <c r="AX244" s="228"/>
      <c r="AZ244" s="228"/>
      <c r="BB244" s="228"/>
      <c r="BD244" s="228"/>
      <c r="BF244" s="228"/>
      <c r="BH244" s="228"/>
      <c r="BJ244" s="228"/>
      <c r="BL244" s="228"/>
      <c r="BN244" s="228"/>
      <c r="BP244" s="228"/>
      <c r="BR244" s="228"/>
      <c r="BT244" s="228"/>
      <c r="BV244" s="228"/>
      <c r="BX244" s="228"/>
      <c r="BZ244" s="228"/>
      <c r="CB244" s="228"/>
      <c r="CD244" s="228"/>
      <c r="CF244" s="228"/>
    </row>
    <row r="245" spans="4:84">
      <c r="D245" s="228"/>
      <c r="E245" s="228"/>
      <c r="F245" s="228"/>
      <c r="G245" s="159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  <c r="AC245" s="228"/>
      <c r="AD245" s="228"/>
      <c r="AE245" s="228"/>
      <c r="AF245" s="228"/>
      <c r="AG245" s="228"/>
      <c r="AH245" s="228"/>
      <c r="AI245" s="228"/>
      <c r="AJ245" s="228"/>
      <c r="AK245" s="228"/>
      <c r="AL245" s="228"/>
      <c r="AM245" s="228"/>
      <c r="AN245" s="228"/>
      <c r="AO245" s="228"/>
      <c r="AP245" s="228"/>
      <c r="AQ245" s="228"/>
      <c r="AR245" s="228"/>
      <c r="AS245" s="228"/>
      <c r="AT245" s="228"/>
      <c r="AV245" s="228"/>
      <c r="AX245" s="228"/>
      <c r="AZ245" s="228"/>
      <c r="BB245" s="228"/>
      <c r="BD245" s="228"/>
      <c r="BF245" s="228"/>
      <c r="BH245" s="228"/>
      <c r="BJ245" s="228"/>
      <c r="BL245" s="228"/>
      <c r="BN245" s="228"/>
      <c r="BP245" s="228"/>
      <c r="BR245" s="228"/>
      <c r="BT245" s="228"/>
      <c r="BV245" s="228"/>
      <c r="BX245" s="228"/>
      <c r="BZ245" s="228"/>
      <c r="CB245" s="228"/>
      <c r="CD245" s="228"/>
      <c r="CF245" s="228"/>
    </row>
    <row r="246" spans="4:84">
      <c r="D246" s="228"/>
      <c r="E246" s="228"/>
      <c r="F246" s="228"/>
      <c r="G246" s="159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  <c r="AC246" s="228"/>
      <c r="AD246" s="228"/>
      <c r="AE246" s="228"/>
      <c r="AF246" s="228"/>
      <c r="AG246" s="228"/>
      <c r="AH246" s="228"/>
      <c r="AI246" s="228"/>
      <c r="AJ246" s="228"/>
      <c r="AK246" s="228"/>
      <c r="AL246" s="228"/>
      <c r="AM246" s="228"/>
      <c r="AN246" s="228"/>
      <c r="AO246" s="228"/>
      <c r="AP246" s="228"/>
      <c r="AQ246" s="228"/>
      <c r="AR246" s="228"/>
      <c r="AS246" s="228"/>
      <c r="AT246" s="228"/>
      <c r="AV246" s="228"/>
      <c r="AX246" s="228"/>
      <c r="AZ246" s="228"/>
      <c r="BB246" s="228"/>
      <c r="BD246" s="228"/>
      <c r="BF246" s="228"/>
      <c r="BH246" s="228"/>
      <c r="BJ246" s="228"/>
      <c r="BL246" s="228"/>
      <c r="BN246" s="228"/>
      <c r="BP246" s="228"/>
      <c r="BR246" s="228"/>
      <c r="BT246" s="228"/>
      <c r="BV246" s="228"/>
      <c r="BX246" s="228"/>
      <c r="BZ246" s="228"/>
      <c r="CB246" s="228"/>
      <c r="CD246" s="228"/>
      <c r="CF246" s="228"/>
    </row>
    <row r="247" spans="4:84">
      <c r="D247" s="228"/>
      <c r="E247" s="228"/>
      <c r="F247" s="228"/>
      <c r="G247" s="159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  <c r="AC247" s="228"/>
      <c r="AD247" s="228"/>
      <c r="AE247" s="228"/>
      <c r="AF247" s="228"/>
      <c r="AG247" s="228"/>
      <c r="AH247" s="228"/>
      <c r="AI247" s="228"/>
      <c r="AJ247" s="228"/>
      <c r="AK247" s="228"/>
      <c r="AL247" s="228"/>
      <c r="AM247" s="228"/>
      <c r="AN247" s="228"/>
      <c r="AO247" s="228"/>
      <c r="AP247" s="228"/>
      <c r="AQ247" s="228"/>
      <c r="AR247" s="228"/>
      <c r="AS247" s="228"/>
      <c r="AT247" s="228"/>
      <c r="AV247" s="228"/>
      <c r="AX247" s="228"/>
      <c r="AZ247" s="228"/>
      <c r="BB247" s="228"/>
      <c r="BD247" s="228"/>
      <c r="BF247" s="228"/>
      <c r="BH247" s="228"/>
      <c r="BJ247" s="228"/>
      <c r="BL247" s="228"/>
      <c r="BN247" s="228"/>
      <c r="BP247" s="228"/>
      <c r="BR247" s="228"/>
      <c r="BT247" s="228"/>
      <c r="BV247" s="228"/>
      <c r="BX247" s="228"/>
      <c r="BZ247" s="228"/>
      <c r="CB247" s="228"/>
      <c r="CD247" s="228"/>
      <c r="CF247" s="228"/>
    </row>
    <row r="248" spans="4:84">
      <c r="D248" s="228"/>
      <c r="E248" s="228"/>
      <c r="F248" s="228"/>
      <c r="G248" s="159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  <c r="AC248" s="228"/>
      <c r="AD248" s="228"/>
      <c r="AE248" s="228"/>
      <c r="AF248" s="228"/>
      <c r="AG248" s="228"/>
      <c r="AH248" s="228"/>
      <c r="AI248" s="228"/>
      <c r="AJ248" s="228"/>
      <c r="AK248" s="228"/>
      <c r="AL248" s="228"/>
      <c r="AM248" s="228"/>
      <c r="AN248" s="228"/>
      <c r="AO248" s="228"/>
      <c r="AP248" s="228"/>
      <c r="AQ248" s="228"/>
      <c r="AR248" s="228"/>
      <c r="AS248" s="228"/>
      <c r="AT248" s="228"/>
      <c r="AV248" s="228"/>
      <c r="AX248" s="228"/>
      <c r="AZ248" s="228"/>
      <c r="BB248" s="228"/>
      <c r="BD248" s="228"/>
      <c r="BF248" s="228"/>
      <c r="BH248" s="228"/>
      <c r="BJ248" s="228"/>
      <c r="BL248" s="228"/>
      <c r="BN248" s="228"/>
      <c r="BP248" s="228"/>
      <c r="BR248" s="228"/>
      <c r="BT248" s="228"/>
      <c r="BV248" s="228"/>
      <c r="BX248" s="228"/>
      <c r="BZ248" s="228"/>
      <c r="CB248" s="228"/>
      <c r="CD248" s="228"/>
      <c r="CF248" s="228"/>
    </row>
    <row r="249" spans="4:84">
      <c r="D249" s="228"/>
      <c r="E249" s="228"/>
      <c r="F249" s="228"/>
      <c r="G249" s="159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  <c r="AC249" s="228"/>
      <c r="AD249" s="228"/>
      <c r="AE249" s="228"/>
      <c r="AF249" s="228"/>
      <c r="AG249" s="228"/>
      <c r="AH249" s="228"/>
      <c r="AI249" s="228"/>
      <c r="AJ249" s="228"/>
      <c r="AK249" s="228"/>
      <c r="AL249" s="228"/>
      <c r="AM249" s="228"/>
      <c r="AN249" s="228"/>
      <c r="AO249" s="228"/>
      <c r="AP249" s="228"/>
      <c r="AQ249" s="228"/>
      <c r="AR249" s="228"/>
      <c r="AS249" s="228"/>
      <c r="AT249" s="228"/>
      <c r="AV249" s="228"/>
      <c r="AX249" s="228"/>
      <c r="AZ249" s="228"/>
      <c r="BB249" s="228"/>
      <c r="BD249" s="228"/>
      <c r="BF249" s="228"/>
      <c r="BH249" s="228"/>
      <c r="BJ249" s="228"/>
      <c r="BL249" s="228"/>
      <c r="BN249" s="228"/>
      <c r="BP249" s="228"/>
      <c r="BR249" s="228"/>
      <c r="BT249" s="228"/>
      <c r="BV249" s="228"/>
      <c r="BX249" s="228"/>
      <c r="BZ249" s="228"/>
      <c r="CB249" s="228"/>
      <c r="CD249" s="228"/>
      <c r="CF249" s="228"/>
    </row>
    <row r="250" spans="4:84">
      <c r="D250" s="228"/>
      <c r="E250" s="228"/>
      <c r="F250" s="228"/>
      <c r="G250" s="159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  <c r="AC250" s="228"/>
      <c r="AD250" s="228"/>
      <c r="AE250" s="228"/>
      <c r="AF250" s="228"/>
      <c r="AG250" s="228"/>
      <c r="AH250" s="228"/>
      <c r="AI250" s="228"/>
      <c r="AJ250" s="228"/>
      <c r="AK250" s="228"/>
      <c r="AL250" s="228"/>
      <c r="AM250" s="228"/>
      <c r="AN250" s="228"/>
      <c r="AO250" s="228"/>
      <c r="AP250" s="228"/>
      <c r="AQ250" s="228"/>
      <c r="AR250" s="228"/>
      <c r="AS250" s="228"/>
      <c r="AT250" s="228"/>
      <c r="AV250" s="228"/>
      <c r="AX250" s="228"/>
      <c r="AZ250" s="228"/>
      <c r="BB250" s="228"/>
      <c r="BD250" s="228"/>
      <c r="BF250" s="228"/>
      <c r="BH250" s="228"/>
      <c r="BJ250" s="228"/>
      <c r="BL250" s="228"/>
      <c r="BN250" s="228"/>
      <c r="BP250" s="228"/>
      <c r="BR250" s="228"/>
      <c r="BT250" s="228"/>
      <c r="BV250" s="228"/>
      <c r="BX250" s="228"/>
      <c r="BZ250" s="228"/>
      <c r="CB250" s="228"/>
      <c r="CD250" s="228"/>
      <c r="CF250" s="228"/>
    </row>
    <row r="251" spans="4:84">
      <c r="D251" s="228"/>
      <c r="E251" s="228"/>
      <c r="F251" s="228"/>
      <c r="G251" s="159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  <c r="AB251" s="228"/>
      <c r="AC251" s="228"/>
      <c r="AD251" s="228"/>
      <c r="AE251" s="228"/>
      <c r="AF251" s="228"/>
      <c r="AG251" s="228"/>
      <c r="AH251" s="228"/>
      <c r="AI251" s="228"/>
      <c r="AJ251" s="228"/>
      <c r="AK251" s="228"/>
      <c r="AL251" s="228"/>
      <c r="AM251" s="228"/>
      <c r="AN251" s="228"/>
      <c r="AO251" s="228"/>
      <c r="AP251" s="228"/>
      <c r="AQ251" s="228"/>
      <c r="AR251" s="228"/>
      <c r="AS251" s="228"/>
      <c r="AT251" s="228"/>
      <c r="AV251" s="228"/>
      <c r="AX251" s="228"/>
      <c r="AZ251" s="228"/>
      <c r="BB251" s="228"/>
      <c r="BD251" s="228"/>
      <c r="BF251" s="228"/>
      <c r="BH251" s="228"/>
      <c r="BJ251" s="228"/>
      <c r="BL251" s="228"/>
      <c r="BN251" s="228"/>
      <c r="BP251" s="228"/>
      <c r="BR251" s="228"/>
      <c r="BT251" s="228"/>
      <c r="BV251" s="228"/>
      <c r="BX251" s="228"/>
      <c r="BZ251" s="228"/>
      <c r="CB251" s="228"/>
      <c r="CD251" s="228"/>
      <c r="CF251" s="228"/>
    </row>
    <row r="252" spans="4:84">
      <c r="D252" s="228"/>
      <c r="E252" s="228"/>
      <c r="F252" s="228"/>
      <c r="G252" s="159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  <c r="AB252" s="228"/>
      <c r="AC252" s="228"/>
      <c r="AD252" s="228"/>
      <c r="AE252" s="228"/>
      <c r="AF252" s="228"/>
      <c r="AG252" s="228"/>
      <c r="AH252" s="228"/>
      <c r="AI252" s="228"/>
      <c r="AJ252" s="228"/>
      <c r="AK252" s="228"/>
      <c r="AL252" s="228"/>
      <c r="AM252" s="228"/>
      <c r="AN252" s="228"/>
      <c r="AO252" s="228"/>
      <c r="AP252" s="228"/>
      <c r="AQ252" s="228"/>
      <c r="AR252" s="228"/>
      <c r="AS252" s="228"/>
      <c r="AT252" s="228"/>
      <c r="AV252" s="228"/>
      <c r="AX252" s="228"/>
      <c r="AZ252" s="228"/>
      <c r="BB252" s="228"/>
      <c r="BD252" s="228"/>
      <c r="BF252" s="228"/>
      <c r="BH252" s="228"/>
      <c r="BJ252" s="228"/>
      <c r="BL252" s="228"/>
      <c r="BN252" s="228"/>
      <c r="BP252" s="228"/>
      <c r="BR252" s="228"/>
      <c r="BT252" s="228"/>
      <c r="BV252" s="228"/>
      <c r="BX252" s="228"/>
      <c r="BZ252" s="228"/>
      <c r="CB252" s="228"/>
      <c r="CD252" s="228"/>
      <c r="CF252" s="228"/>
    </row>
    <row r="253" spans="4:84">
      <c r="D253" s="228"/>
      <c r="E253" s="228"/>
      <c r="F253" s="228"/>
      <c r="G253" s="159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  <c r="AB253" s="228"/>
      <c r="AC253" s="228"/>
      <c r="AD253" s="228"/>
      <c r="AE253" s="228"/>
      <c r="AF253" s="228"/>
      <c r="AG253" s="228"/>
      <c r="AH253" s="228"/>
      <c r="AI253" s="228"/>
      <c r="AJ253" s="228"/>
      <c r="AK253" s="228"/>
      <c r="AL253" s="228"/>
      <c r="AM253" s="228"/>
      <c r="AN253" s="228"/>
      <c r="AO253" s="228"/>
      <c r="AP253" s="228"/>
      <c r="AQ253" s="228"/>
      <c r="AR253" s="228"/>
      <c r="AS253" s="228"/>
      <c r="AT253" s="228"/>
      <c r="AV253" s="228"/>
      <c r="AX253" s="228"/>
      <c r="AZ253" s="228"/>
      <c r="BB253" s="228"/>
      <c r="BD253" s="228"/>
      <c r="BF253" s="228"/>
      <c r="BH253" s="228"/>
      <c r="BJ253" s="228"/>
      <c r="BL253" s="228"/>
      <c r="BN253" s="228"/>
      <c r="BP253" s="228"/>
      <c r="BR253" s="228"/>
      <c r="BT253" s="228"/>
      <c r="BV253" s="228"/>
      <c r="BX253" s="228"/>
      <c r="BZ253" s="228"/>
      <c r="CB253" s="228"/>
      <c r="CD253" s="228"/>
      <c r="CF253" s="228"/>
    </row>
    <row r="254" spans="4:84">
      <c r="D254" s="228"/>
      <c r="E254" s="228"/>
      <c r="F254" s="228"/>
      <c r="G254" s="159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  <c r="AB254" s="228"/>
      <c r="AC254" s="228"/>
      <c r="AD254" s="228"/>
      <c r="AE254" s="228"/>
      <c r="AF254" s="228"/>
      <c r="AG254" s="228"/>
      <c r="AH254" s="228"/>
      <c r="AI254" s="228"/>
      <c r="AJ254" s="228"/>
      <c r="AK254" s="228"/>
      <c r="AL254" s="228"/>
      <c r="AM254" s="228"/>
      <c r="AN254" s="228"/>
      <c r="AO254" s="228"/>
      <c r="AP254" s="228"/>
      <c r="AQ254" s="228"/>
      <c r="AR254" s="228"/>
      <c r="AS254" s="228"/>
      <c r="AT254" s="228"/>
      <c r="AV254" s="228"/>
      <c r="AX254" s="228"/>
      <c r="AZ254" s="228"/>
      <c r="BB254" s="228"/>
      <c r="BD254" s="228"/>
      <c r="BF254" s="228"/>
      <c r="BH254" s="228"/>
      <c r="BJ254" s="228"/>
      <c r="BL254" s="228"/>
      <c r="BN254" s="228"/>
      <c r="BP254" s="228"/>
      <c r="BR254" s="228"/>
      <c r="BT254" s="228"/>
      <c r="BV254" s="228"/>
      <c r="BX254" s="228"/>
      <c r="BZ254" s="228"/>
      <c r="CB254" s="228"/>
      <c r="CD254" s="228"/>
      <c r="CF254" s="228"/>
    </row>
    <row r="255" spans="4:84">
      <c r="D255" s="228"/>
      <c r="E255" s="228"/>
      <c r="F255" s="228"/>
      <c r="G255" s="159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  <c r="AB255" s="228"/>
      <c r="AC255" s="228"/>
      <c r="AD255" s="228"/>
      <c r="AE255" s="228"/>
      <c r="AF255" s="228"/>
      <c r="AG255" s="228"/>
      <c r="AH255" s="228"/>
      <c r="AI255" s="228"/>
      <c r="AJ255" s="228"/>
      <c r="AK255" s="228"/>
      <c r="AL255" s="228"/>
      <c r="AM255" s="228"/>
      <c r="AN255" s="228"/>
      <c r="AO255" s="228"/>
      <c r="AP255" s="228"/>
      <c r="AQ255" s="228"/>
      <c r="AR255" s="228"/>
      <c r="AS255" s="228"/>
      <c r="AT255" s="228"/>
      <c r="AV255" s="228"/>
      <c r="AX255" s="228"/>
      <c r="AZ255" s="228"/>
      <c r="BB255" s="228"/>
      <c r="BD255" s="228"/>
      <c r="BF255" s="228"/>
      <c r="BH255" s="228"/>
      <c r="BJ255" s="228"/>
      <c r="BL255" s="228"/>
      <c r="BN255" s="228"/>
      <c r="BP255" s="228"/>
      <c r="BR255" s="228"/>
      <c r="BT255" s="228"/>
      <c r="BV255" s="228"/>
      <c r="BX255" s="228"/>
      <c r="BZ255" s="228"/>
      <c r="CB255" s="228"/>
      <c r="CD255" s="228"/>
      <c r="CF255" s="228"/>
    </row>
    <row r="256" spans="4:84">
      <c r="D256" s="228"/>
      <c r="E256" s="228"/>
      <c r="F256" s="228"/>
      <c r="G256" s="159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  <c r="AC256" s="228"/>
      <c r="AD256" s="228"/>
      <c r="AE256" s="228"/>
      <c r="AF256" s="228"/>
      <c r="AG256" s="228"/>
      <c r="AH256" s="228"/>
      <c r="AI256" s="228"/>
      <c r="AJ256" s="228"/>
      <c r="AK256" s="228"/>
      <c r="AL256" s="228"/>
      <c r="AM256" s="228"/>
      <c r="AN256" s="228"/>
      <c r="AO256" s="228"/>
      <c r="AP256" s="228"/>
      <c r="AQ256" s="228"/>
      <c r="AR256" s="228"/>
      <c r="AS256" s="228"/>
      <c r="AT256" s="228"/>
      <c r="AV256" s="228"/>
      <c r="AX256" s="228"/>
      <c r="AZ256" s="228"/>
      <c r="BB256" s="228"/>
      <c r="BD256" s="228"/>
      <c r="BF256" s="228"/>
      <c r="BH256" s="228"/>
      <c r="BJ256" s="228"/>
      <c r="BL256" s="228"/>
      <c r="BN256" s="228"/>
      <c r="BP256" s="228"/>
      <c r="BR256" s="228"/>
      <c r="BT256" s="228"/>
      <c r="BV256" s="228"/>
      <c r="BX256" s="228"/>
      <c r="BZ256" s="228"/>
      <c r="CB256" s="228"/>
      <c r="CD256" s="228"/>
      <c r="CF256" s="228"/>
    </row>
    <row r="257" spans="4:84">
      <c r="D257" s="228"/>
      <c r="E257" s="228"/>
      <c r="F257" s="228"/>
      <c r="G257" s="159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  <c r="AB257" s="228"/>
      <c r="AC257" s="228"/>
      <c r="AD257" s="228"/>
      <c r="AE257" s="228"/>
      <c r="AF257" s="228"/>
      <c r="AG257" s="228"/>
      <c r="AH257" s="228"/>
      <c r="AI257" s="228"/>
      <c r="AJ257" s="228"/>
      <c r="AK257" s="228"/>
      <c r="AL257" s="228"/>
      <c r="AM257" s="228"/>
      <c r="AN257" s="228"/>
      <c r="AO257" s="228"/>
      <c r="AP257" s="228"/>
      <c r="AQ257" s="228"/>
      <c r="AR257" s="228"/>
      <c r="AS257" s="228"/>
      <c r="AT257" s="228"/>
      <c r="AV257" s="228"/>
      <c r="AX257" s="228"/>
      <c r="AZ257" s="228"/>
      <c r="BB257" s="228"/>
      <c r="BD257" s="228"/>
      <c r="BF257" s="228"/>
      <c r="BH257" s="228"/>
      <c r="BJ257" s="228"/>
      <c r="BL257" s="228"/>
      <c r="BN257" s="228"/>
      <c r="BP257" s="228"/>
      <c r="BR257" s="228"/>
      <c r="BT257" s="228"/>
      <c r="BV257" s="228"/>
      <c r="BX257" s="228"/>
      <c r="BZ257" s="228"/>
      <c r="CB257" s="228"/>
      <c r="CD257" s="228"/>
      <c r="CF257" s="228"/>
    </row>
    <row r="258" spans="4:84">
      <c r="D258" s="228"/>
      <c r="E258" s="228"/>
      <c r="F258" s="228"/>
      <c r="G258" s="159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  <c r="AB258" s="228"/>
      <c r="AC258" s="228"/>
      <c r="AD258" s="228"/>
      <c r="AE258" s="228"/>
      <c r="AF258" s="228"/>
      <c r="AG258" s="228"/>
      <c r="AH258" s="228"/>
      <c r="AI258" s="228"/>
      <c r="AJ258" s="228"/>
      <c r="AK258" s="228"/>
      <c r="AL258" s="228"/>
      <c r="AM258" s="228"/>
      <c r="AN258" s="228"/>
      <c r="AO258" s="228"/>
      <c r="AP258" s="228"/>
      <c r="AQ258" s="228"/>
      <c r="AR258" s="228"/>
      <c r="AS258" s="228"/>
      <c r="AT258" s="228"/>
      <c r="AV258" s="228"/>
      <c r="AX258" s="228"/>
      <c r="AZ258" s="228"/>
      <c r="BB258" s="228"/>
      <c r="BD258" s="228"/>
      <c r="BF258" s="228"/>
      <c r="BH258" s="228"/>
      <c r="BJ258" s="228"/>
      <c r="BL258" s="228"/>
      <c r="BN258" s="228"/>
      <c r="BP258" s="228"/>
      <c r="BR258" s="228"/>
      <c r="BT258" s="228"/>
      <c r="BV258" s="228"/>
      <c r="BX258" s="228"/>
      <c r="BZ258" s="228"/>
      <c r="CB258" s="228"/>
      <c r="CD258" s="228"/>
      <c r="CF258" s="228"/>
    </row>
    <row r="259" spans="4:84">
      <c r="D259" s="228"/>
      <c r="E259" s="228"/>
      <c r="F259" s="228"/>
      <c r="G259" s="159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  <c r="AB259" s="228"/>
      <c r="AC259" s="228"/>
      <c r="AD259" s="228"/>
      <c r="AE259" s="228"/>
      <c r="AF259" s="228"/>
      <c r="AG259" s="228"/>
      <c r="AH259" s="228"/>
      <c r="AI259" s="228"/>
      <c r="AJ259" s="228"/>
      <c r="AK259" s="228"/>
      <c r="AL259" s="228"/>
      <c r="AM259" s="228"/>
      <c r="AN259" s="228"/>
      <c r="AO259" s="228"/>
      <c r="AP259" s="228"/>
      <c r="AQ259" s="228"/>
      <c r="AR259" s="228"/>
      <c r="AS259" s="228"/>
      <c r="AT259" s="228"/>
      <c r="AV259" s="228"/>
      <c r="AX259" s="228"/>
      <c r="AZ259" s="228"/>
      <c r="BB259" s="228"/>
      <c r="BD259" s="228"/>
      <c r="BF259" s="228"/>
      <c r="BH259" s="228"/>
      <c r="BJ259" s="228"/>
      <c r="BL259" s="228"/>
      <c r="BN259" s="228"/>
      <c r="BP259" s="228"/>
      <c r="BR259" s="228"/>
      <c r="BT259" s="228"/>
      <c r="BV259" s="228"/>
      <c r="BX259" s="228"/>
      <c r="BZ259" s="228"/>
      <c r="CB259" s="228"/>
      <c r="CD259" s="228"/>
      <c r="CF259" s="228"/>
    </row>
    <row r="260" spans="4:84">
      <c r="D260" s="228"/>
      <c r="E260" s="228"/>
      <c r="F260" s="228"/>
      <c r="G260" s="159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  <c r="AB260" s="228"/>
      <c r="AC260" s="228"/>
      <c r="AD260" s="228"/>
      <c r="AE260" s="228"/>
      <c r="AF260" s="228"/>
      <c r="AG260" s="228"/>
      <c r="AH260" s="228"/>
      <c r="AI260" s="228"/>
      <c r="AJ260" s="228"/>
      <c r="AK260" s="228"/>
      <c r="AL260" s="228"/>
      <c r="AM260" s="228"/>
      <c r="AN260" s="228"/>
      <c r="AO260" s="228"/>
      <c r="AP260" s="228"/>
      <c r="AQ260" s="228"/>
      <c r="AR260" s="228"/>
      <c r="AS260" s="228"/>
      <c r="AT260" s="228"/>
      <c r="AV260" s="228"/>
      <c r="AX260" s="228"/>
      <c r="AZ260" s="228"/>
      <c r="BB260" s="228"/>
      <c r="BD260" s="228"/>
      <c r="BF260" s="228"/>
      <c r="BH260" s="228"/>
      <c r="BJ260" s="228"/>
      <c r="BL260" s="228"/>
      <c r="BN260" s="228"/>
      <c r="BP260" s="228"/>
      <c r="BR260" s="228"/>
      <c r="BT260" s="228"/>
      <c r="BV260" s="228"/>
      <c r="BX260" s="228"/>
      <c r="BZ260" s="228"/>
      <c r="CB260" s="228"/>
      <c r="CD260" s="228"/>
      <c r="CF260" s="228"/>
    </row>
    <row r="261" spans="4:84">
      <c r="D261" s="228"/>
      <c r="E261" s="228"/>
      <c r="F261" s="228"/>
      <c r="G261" s="159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  <c r="AB261" s="228"/>
      <c r="AC261" s="228"/>
      <c r="AD261" s="228"/>
      <c r="AE261" s="228"/>
      <c r="AF261" s="228"/>
      <c r="AG261" s="228"/>
      <c r="AH261" s="228"/>
      <c r="AI261" s="228"/>
      <c r="AJ261" s="228"/>
      <c r="AK261" s="228"/>
      <c r="AL261" s="228"/>
      <c r="AM261" s="228"/>
      <c r="AN261" s="228"/>
      <c r="AO261" s="228"/>
      <c r="AP261" s="228"/>
      <c r="AQ261" s="228"/>
      <c r="AR261" s="228"/>
      <c r="AS261" s="228"/>
      <c r="AT261" s="228"/>
      <c r="AV261" s="228"/>
      <c r="AX261" s="228"/>
      <c r="AZ261" s="228"/>
      <c r="BB261" s="228"/>
      <c r="BD261" s="228"/>
      <c r="BF261" s="228"/>
      <c r="BH261" s="228"/>
      <c r="BJ261" s="228"/>
      <c r="BL261" s="228"/>
      <c r="BN261" s="228"/>
      <c r="BP261" s="228"/>
      <c r="BR261" s="228"/>
      <c r="BT261" s="228"/>
      <c r="BV261" s="228"/>
      <c r="BX261" s="228"/>
      <c r="BZ261" s="228"/>
      <c r="CB261" s="228"/>
      <c r="CD261" s="228"/>
      <c r="CF261" s="228"/>
    </row>
    <row r="262" spans="4:84">
      <c r="D262" s="228"/>
      <c r="E262" s="228"/>
      <c r="F262" s="228"/>
      <c r="G262" s="159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  <c r="AB262" s="228"/>
      <c r="AC262" s="228"/>
      <c r="AD262" s="228"/>
      <c r="AE262" s="228"/>
      <c r="AF262" s="228"/>
      <c r="AG262" s="228"/>
      <c r="AH262" s="228"/>
      <c r="AI262" s="228"/>
      <c r="AJ262" s="228"/>
      <c r="AK262" s="228"/>
      <c r="AL262" s="228"/>
      <c r="AM262" s="228"/>
      <c r="AN262" s="228"/>
      <c r="AO262" s="228"/>
      <c r="AP262" s="228"/>
      <c r="AQ262" s="228"/>
      <c r="AR262" s="228"/>
      <c r="AS262" s="228"/>
      <c r="AT262" s="228"/>
      <c r="AV262" s="228"/>
      <c r="AX262" s="228"/>
      <c r="AZ262" s="228"/>
      <c r="BB262" s="228"/>
      <c r="BD262" s="228"/>
      <c r="BF262" s="228"/>
      <c r="BH262" s="228"/>
      <c r="BJ262" s="228"/>
      <c r="BL262" s="228"/>
      <c r="BN262" s="228"/>
      <c r="BP262" s="228"/>
      <c r="BR262" s="228"/>
      <c r="BT262" s="228"/>
      <c r="BV262" s="228"/>
      <c r="BX262" s="228"/>
      <c r="BZ262" s="228"/>
      <c r="CB262" s="228"/>
      <c r="CD262" s="228"/>
      <c r="CF262" s="228"/>
    </row>
    <row r="263" spans="4:84">
      <c r="D263" s="228"/>
      <c r="E263" s="228"/>
      <c r="F263" s="228"/>
      <c r="G263" s="159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  <c r="AB263" s="228"/>
      <c r="AC263" s="228"/>
      <c r="AD263" s="228"/>
      <c r="AE263" s="228"/>
      <c r="AF263" s="228"/>
      <c r="AG263" s="228"/>
      <c r="AH263" s="228"/>
      <c r="AI263" s="228"/>
      <c r="AJ263" s="228"/>
      <c r="AK263" s="228"/>
      <c r="AL263" s="228"/>
      <c r="AM263" s="228"/>
      <c r="AN263" s="228"/>
      <c r="AO263" s="228"/>
      <c r="AP263" s="228"/>
      <c r="AQ263" s="228"/>
      <c r="AR263" s="228"/>
      <c r="AS263" s="228"/>
      <c r="AT263" s="228"/>
      <c r="AV263" s="228"/>
      <c r="AX263" s="228"/>
      <c r="AZ263" s="228"/>
      <c r="BB263" s="228"/>
      <c r="BD263" s="228"/>
      <c r="BF263" s="228"/>
      <c r="BH263" s="228"/>
      <c r="BJ263" s="228"/>
      <c r="BL263" s="228"/>
      <c r="BN263" s="228"/>
      <c r="BP263" s="228"/>
      <c r="BR263" s="228"/>
      <c r="BT263" s="228"/>
      <c r="BV263" s="228"/>
      <c r="BX263" s="228"/>
      <c r="BZ263" s="228"/>
      <c r="CB263" s="228"/>
      <c r="CD263" s="228"/>
      <c r="CF263" s="228"/>
    </row>
    <row r="264" spans="4:84">
      <c r="D264" s="228"/>
      <c r="E264" s="228"/>
      <c r="F264" s="228"/>
      <c r="G264" s="159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  <c r="AB264" s="228"/>
      <c r="AC264" s="228"/>
      <c r="AD264" s="228"/>
      <c r="AE264" s="228"/>
      <c r="AF264" s="228"/>
      <c r="AG264" s="228"/>
      <c r="AH264" s="228"/>
      <c r="AI264" s="228"/>
      <c r="AJ264" s="228"/>
      <c r="AK264" s="228"/>
      <c r="AL264" s="228"/>
      <c r="AM264" s="228"/>
      <c r="AN264" s="228"/>
      <c r="AO264" s="228"/>
      <c r="AP264" s="228"/>
      <c r="AQ264" s="228"/>
      <c r="AR264" s="228"/>
      <c r="AS264" s="228"/>
      <c r="AT264" s="228"/>
      <c r="AV264" s="228"/>
      <c r="AX264" s="228"/>
      <c r="AZ264" s="228"/>
      <c r="BB264" s="228"/>
      <c r="BD264" s="228"/>
      <c r="BF264" s="228"/>
      <c r="BH264" s="228"/>
      <c r="BJ264" s="228"/>
      <c r="BL264" s="228"/>
      <c r="BN264" s="228"/>
      <c r="BP264" s="228"/>
      <c r="BR264" s="228"/>
      <c r="BT264" s="228"/>
      <c r="BV264" s="228"/>
      <c r="BX264" s="228"/>
      <c r="BZ264" s="228"/>
      <c r="CB264" s="228"/>
      <c r="CD264" s="228"/>
      <c r="CF264" s="228"/>
    </row>
    <row r="265" spans="4:84">
      <c r="D265" s="228"/>
      <c r="E265" s="228"/>
      <c r="F265" s="228"/>
      <c r="G265" s="159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  <c r="AB265" s="228"/>
      <c r="AC265" s="228"/>
      <c r="AD265" s="228"/>
      <c r="AE265" s="228"/>
      <c r="AF265" s="228"/>
      <c r="AG265" s="228"/>
      <c r="AH265" s="228"/>
      <c r="AI265" s="228"/>
      <c r="AJ265" s="228"/>
      <c r="AK265" s="228"/>
      <c r="AL265" s="228"/>
      <c r="AM265" s="228"/>
      <c r="AN265" s="228"/>
      <c r="AO265" s="228"/>
      <c r="AP265" s="228"/>
      <c r="AQ265" s="228"/>
      <c r="AR265" s="228"/>
      <c r="AS265" s="228"/>
      <c r="AT265" s="228"/>
      <c r="AV265" s="228"/>
      <c r="AX265" s="228"/>
      <c r="AZ265" s="228"/>
      <c r="BB265" s="228"/>
      <c r="BD265" s="228"/>
      <c r="BF265" s="228"/>
      <c r="BH265" s="228"/>
      <c r="BJ265" s="228"/>
      <c r="BL265" s="228"/>
      <c r="BN265" s="228"/>
      <c r="BP265" s="228"/>
      <c r="BR265" s="228"/>
      <c r="BT265" s="228"/>
      <c r="BV265" s="228"/>
      <c r="BX265" s="228"/>
      <c r="BZ265" s="228"/>
      <c r="CB265" s="228"/>
      <c r="CD265" s="228"/>
      <c r="CF265" s="228"/>
    </row>
    <row r="266" spans="4:84">
      <c r="D266" s="228"/>
      <c r="E266" s="228"/>
      <c r="F266" s="228"/>
      <c r="G266" s="159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  <c r="AB266" s="228"/>
      <c r="AC266" s="228"/>
      <c r="AD266" s="228"/>
      <c r="AE266" s="228"/>
      <c r="AF266" s="228"/>
      <c r="AG266" s="228"/>
      <c r="AH266" s="228"/>
      <c r="AI266" s="228"/>
      <c r="AJ266" s="228"/>
      <c r="AK266" s="228"/>
      <c r="AL266" s="228"/>
      <c r="AM266" s="228"/>
      <c r="AN266" s="228"/>
      <c r="AO266" s="228"/>
      <c r="AP266" s="228"/>
      <c r="AQ266" s="228"/>
      <c r="AR266" s="228"/>
      <c r="AS266" s="228"/>
      <c r="AT266" s="228"/>
      <c r="AV266" s="228"/>
      <c r="AX266" s="228"/>
      <c r="AZ266" s="228"/>
      <c r="BB266" s="228"/>
      <c r="BD266" s="228"/>
      <c r="BF266" s="228"/>
      <c r="BH266" s="228"/>
      <c r="BJ266" s="228"/>
      <c r="BL266" s="228"/>
      <c r="BN266" s="228"/>
      <c r="BP266" s="228"/>
      <c r="BR266" s="228"/>
      <c r="BT266" s="228"/>
      <c r="BV266" s="228"/>
      <c r="BX266" s="228"/>
      <c r="BZ266" s="228"/>
      <c r="CB266" s="228"/>
      <c r="CD266" s="228"/>
      <c r="CF266" s="228"/>
    </row>
    <row r="267" spans="4:84">
      <c r="D267" s="228"/>
      <c r="E267" s="228"/>
      <c r="F267" s="228"/>
      <c r="G267" s="159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  <c r="AB267" s="228"/>
      <c r="AC267" s="228"/>
      <c r="AD267" s="228"/>
      <c r="AE267" s="228"/>
      <c r="AF267" s="228"/>
      <c r="AG267" s="228"/>
      <c r="AH267" s="228"/>
      <c r="AI267" s="228"/>
      <c r="AJ267" s="228"/>
      <c r="AK267" s="228"/>
      <c r="AL267" s="228"/>
      <c r="AM267" s="228"/>
      <c r="AN267" s="228"/>
      <c r="AO267" s="228"/>
      <c r="AP267" s="228"/>
      <c r="AQ267" s="228"/>
      <c r="AR267" s="228"/>
      <c r="AS267" s="228"/>
      <c r="AT267" s="228"/>
      <c r="AV267" s="228"/>
      <c r="AX267" s="228"/>
      <c r="AZ267" s="228"/>
      <c r="BB267" s="228"/>
      <c r="BD267" s="228"/>
      <c r="BF267" s="228"/>
      <c r="BH267" s="228"/>
      <c r="BJ267" s="228"/>
      <c r="BL267" s="228"/>
      <c r="BN267" s="228"/>
      <c r="BP267" s="228"/>
      <c r="BR267" s="228"/>
      <c r="BT267" s="228"/>
      <c r="BV267" s="228"/>
      <c r="BX267" s="228"/>
      <c r="BZ267" s="228"/>
      <c r="CB267" s="228"/>
      <c r="CD267" s="228"/>
      <c r="CF267" s="228"/>
    </row>
    <row r="268" spans="4:84">
      <c r="D268" s="228"/>
      <c r="E268" s="228"/>
      <c r="F268" s="228"/>
      <c r="G268" s="159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  <c r="AB268" s="228"/>
      <c r="AC268" s="228"/>
      <c r="AD268" s="228"/>
      <c r="AE268" s="228"/>
      <c r="AF268" s="228"/>
      <c r="AG268" s="228"/>
      <c r="AH268" s="228"/>
      <c r="AI268" s="228"/>
      <c r="AJ268" s="228"/>
      <c r="AK268" s="228"/>
      <c r="AL268" s="228"/>
      <c r="AM268" s="228"/>
      <c r="AN268" s="228"/>
      <c r="AO268" s="228"/>
      <c r="AP268" s="228"/>
      <c r="AQ268" s="228"/>
      <c r="AR268" s="228"/>
      <c r="AS268" s="228"/>
      <c r="AT268" s="228"/>
      <c r="AV268" s="228"/>
      <c r="AX268" s="228"/>
      <c r="AZ268" s="228"/>
      <c r="BB268" s="228"/>
      <c r="BD268" s="228"/>
      <c r="BF268" s="228"/>
      <c r="BH268" s="228"/>
      <c r="BJ268" s="228"/>
      <c r="BL268" s="228"/>
      <c r="BN268" s="228"/>
      <c r="BP268" s="228"/>
      <c r="BR268" s="228"/>
      <c r="BT268" s="228"/>
      <c r="BV268" s="228"/>
      <c r="BX268" s="228"/>
      <c r="BZ268" s="228"/>
      <c r="CB268" s="228"/>
      <c r="CD268" s="228"/>
      <c r="CF268" s="228"/>
    </row>
  </sheetData>
  <mergeCells count="1">
    <mergeCell ref="C2:CF2"/>
  </mergeCells>
  <phoneticPr fontId="0" type="noConversion"/>
  <pageMargins left="0.7" right="0.7" top="0.75" bottom="0.75" header="0.3" footer="0.3"/>
  <pageSetup paperSize="256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FFFF00"/>
  </sheetPr>
  <dimension ref="A1:BI133"/>
  <sheetViews>
    <sheetView zoomScaleSheetLayoutView="110" workbookViewId="0">
      <pane xSplit="2" ySplit="11" topLeftCell="F22" activePane="bottomRight" state="frozen"/>
      <selection activeCell="C20" sqref="C20"/>
      <selection pane="topRight" activeCell="C20" sqref="C20"/>
      <selection pane="bottomLeft" activeCell="C20" sqref="C20"/>
      <selection pane="bottomRight" activeCell="C20" sqref="C20"/>
    </sheetView>
  </sheetViews>
  <sheetFormatPr defaultColWidth="8.81640625" defaultRowHeight="11.5" outlineLevelRow="1" outlineLevelCol="1"/>
  <cols>
    <col min="1" max="1" width="8.81640625" style="15" hidden="1" customWidth="1" outlineLevel="1"/>
    <col min="2" max="3" width="12.453125" style="15" hidden="1" customWidth="1" outlineLevel="1"/>
    <col min="4" max="4" width="6.54296875" style="15" hidden="1" customWidth="1" outlineLevel="1"/>
    <col min="5" max="5" width="4.26953125" style="40" customWidth="1" collapsed="1"/>
    <col min="6" max="6" width="31.81640625" style="6" customWidth="1"/>
    <col min="7" max="7" width="5.54296875" style="6" customWidth="1"/>
    <col min="8" max="8" width="7" style="7" customWidth="1"/>
    <col min="9" max="9" width="28.54296875" style="8" bestFit="1" customWidth="1"/>
    <col min="10" max="10" width="13.7265625" style="8" customWidth="1"/>
    <col min="11" max="12" width="14.26953125" style="8" customWidth="1"/>
    <col min="13" max="13" width="11" style="8" customWidth="1"/>
    <col min="14" max="14" width="12.26953125" style="8" customWidth="1"/>
    <col min="15" max="15" width="6.453125" style="8" bestFit="1" customWidth="1"/>
    <col min="16" max="16" width="15.453125" style="8" customWidth="1"/>
    <col min="17" max="18" width="15.453125" style="333" hidden="1" customWidth="1" outlineLevel="1"/>
    <col min="19" max="19" width="14.1796875" style="8" customWidth="1" collapsed="1"/>
    <col min="20" max="20" width="12.54296875" style="8" customWidth="1"/>
    <col min="21" max="21" width="12.26953125" style="8" customWidth="1"/>
    <col min="22" max="22" width="10.453125" style="8" customWidth="1"/>
    <col min="23" max="25" width="10.453125" style="8" customWidth="1" outlineLevel="1"/>
    <col min="26" max="26" width="12.54296875" style="8" customWidth="1"/>
    <col min="27" max="27" width="14.7265625" style="50" customWidth="1"/>
    <col min="28" max="28" width="8" style="7" bestFit="1" customWidth="1"/>
    <col min="29" max="29" width="8.7265625" style="49" customWidth="1"/>
    <col min="30" max="30" width="9.26953125" style="6" hidden="1" customWidth="1" outlineLevel="1"/>
    <col min="31" max="31" width="16.1796875" style="15" customWidth="1" collapsed="1"/>
    <col min="32" max="32" width="25.7265625" style="23" customWidth="1"/>
    <col min="33" max="33" width="10" style="24" hidden="1" customWidth="1" outlineLevel="1"/>
    <col min="34" max="34" width="8.54296875" style="25" hidden="1" customWidth="1" outlineLevel="1"/>
    <col min="35" max="35" width="0" style="25" hidden="1" customWidth="1" outlineLevel="1"/>
    <col min="36" max="36" width="5.453125" style="25" hidden="1" customWidth="1" outlineLevel="1"/>
    <col min="37" max="37" width="0" style="25" hidden="1" customWidth="1" outlineLevel="1"/>
    <col min="38" max="57" width="0" style="15" hidden="1" customWidth="1" outlineLevel="1"/>
    <col min="58" max="58" width="8.81640625" style="15" collapsed="1"/>
    <col min="59" max="61" width="8.81640625" style="15"/>
    <col min="62" max="16384" width="8.81640625" style="6"/>
  </cols>
  <sheetData>
    <row r="1" spans="1:61">
      <c r="F1" s="6" t="s">
        <v>17</v>
      </c>
      <c r="I1" s="54" t="s">
        <v>58</v>
      </c>
      <c r="J1" s="54"/>
      <c r="K1" s="54"/>
      <c r="L1" s="54"/>
      <c r="M1" s="54"/>
      <c r="N1" s="54"/>
      <c r="O1" s="54"/>
      <c r="P1" s="54"/>
      <c r="Q1" s="319"/>
      <c r="R1" s="319"/>
      <c r="S1" s="54"/>
      <c r="T1" s="54"/>
      <c r="U1" s="54"/>
      <c r="V1" s="54"/>
      <c r="W1" s="54"/>
      <c r="X1" s="54"/>
      <c r="Y1" s="54"/>
      <c r="Z1" s="54"/>
      <c r="AH1" s="673" t="s">
        <v>52</v>
      </c>
      <c r="AI1" s="673"/>
      <c r="AJ1" s="673"/>
      <c r="AK1" s="673"/>
    </row>
    <row r="2" spans="1:61">
      <c r="F2" s="6" t="str">
        <f>CONCATENATE(Signatories!C13," BRANCH, ",Signatories!C14)</f>
        <v>CATBALOGAN BRANCH, CATBALOGAN CITY, SAMAR</v>
      </c>
      <c r="H2" s="55"/>
      <c r="I2" s="54"/>
      <c r="J2" s="56"/>
      <c r="K2" s="54"/>
      <c r="L2" s="54"/>
      <c r="M2" s="57"/>
      <c r="N2" s="54"/>
      <c r="O2" s="54"/>
      <c r="P2" s="54"/>
      <c r="Q2" s="319"/>
      <c r="R2" s="319"/>
      <c r="S2" s="54"/>
      <c r="T2" s="54"/>
      <c r="U2" s="54"/>
      <c r="V2" s="54"/>
      <c r="W2" s="54"/>
      <c r="X2" s="54"/>
      <c r="Y2" s="54"/>
      <c r="Z2" s="54"/>
      <c r="AH2" s="39" t="s">
        <v>43</v>
      </c>
      <c r="AI2" s="24" t="s">
        <v>45</v>
      </c>
      <c r="AJ2" s="24" t="s">
        <v>47</v>
      </c>
      <c r="AK2" s="24" t="s">
        <v>47</v>
      </c>
    </row>
    <row r="3" spans="1:61">
      <c r="I3" s="58"/>
      <c r="J3" s="56"/>
      <c r="K3" s="54"/>
      <c r="L3" s="54"/>
      <c r="M3" s="54"/>
      <c r="N3" s="54"/>
      <c r="O3" s="54"/>
      <c r="P3" s="54"/>
      <c r="Q3" s="319"/>
      <c r="R3" s="319"/>
      <c r="S3" s="54"/>
      <c r="T3" s="54"/>
      <c r="U3" s="54"/>
      <c r="V3" s="54"/>
      <c r="W3" s="54"/>
      <c r="X3" s="54"/>
      <c r="Y3" s="54"/>
      <c r="Z3" s="54"/>
      <c r="AH3" s="39" t="s">
        <v>44</v>
      </c>
      <c r="AI3" s="24" t="s">
        <v>46</v>
      </c>
      <c r="AJ3" s="24" t="s">
        <v>48</v>
      </c>
      <c r="AK3" s="24" t="s">
        <v>49</v>
      </c>
    </row>
    <row r="4" spans="1:61">
      <c r="I4" s="58"/>
      <c r="J4" s="60"/>
      <c r="K4" s="54"/>
      <c r="L4" s="54"/>
      <c r="M4" s="54"/>
      <c r="N4" s="61"/>
      <c r="O4" s="61"/>
      <c r="P4" s="61"/>
      <c r="Q4" s="320"/>
      <c r="R4" s="320"/>
      <c r="S4" s="54"/>
      <c r="T4" s="54"/>
      <c r="U4" s="54"/>
      <c r="V4" s="54"/>
      <c r="W4" s="54"/>
      <c r="X4" s="54"/>
      <c r="Y4" s="54"/>
      <c r="Z4" s="54"/>
      <c r="AH4" s="39">
        <v>1</v>
      </c>
      <c r="AI4" s="24">
        <v>3</v>
      </c>
      <c r="AJ4" s="24">
        <v>1</v>
      </c>
      <c r="AK4" s="24" t="s">
        <v>50</v>
      </c>
    </row>
    <row r="5" spans="1:61">
      <c r="F5" s="59" t="str">
        <f>LEFT('INPUT FIELDS'!D15,LEN('INPUT FIELDS'!D15)-1)</f>
        <v>PROVINCE OF SAMAR</v>
      </c>
      <c r="I5" s="58"/>
      <c r="J5" s="60"/>
      <c r="K5" s="54"/>
      <c r="L5" s="54"/>
      <c r="M5" s="54"/>
      <c r="N5" s="61"/>
      <c r="O5" s="61"/>
      <c r="P5" s="61"/>
      <c r="Q5" s="320"/>
      <c r="R5" s="320"/>
      <c r="S5" s="54"/>
      <c r="T5" s="54"/>
      <c r="U5" s="54"/>
      <c r="V5" s="54"/>
      <c r="W5" s="54"/>
      <c r="X5" s="54"/>
      <c r="Y5" s="54"/>
      <c r="Z5" s="54"/>
      <c r="AH5" s="39"/>
      <c r="AI5" s="24"/>
      <c r="AJ5" s="24"/>
      <c r="AK5" s="24"/>
    </row>
    <row r="6" spans="1:61">
      <c r="F6" s="6" t="str">
        <f>'INPUT FIELDS'!D6</f>
        <v>OT N0. 15-005   DATED APRIL 7, 2015</v>
      </c>
      <c r="I6" s="54"/>
      <c r="J6" s="60"/>
      <c r="K6" s="54"/>
      <c r="L6" s="54"/>
      <c r="M6" s="54"/>
      <c r="N6" s="54"/>
      <c r="O6" s="54"/>
      <c r="P6" s="54"/>
      <c r="Q6" s="319"/>
      <c r="R6" s="319"/>
      <c r="S6" s="54"/>
      <c r="T6" s="54"/>
      <c r="U6" s="54"/>
      <c r="V6" s="54"/>
      <c r="W6" s="54"/>
      <c r="X6" s="54"/>
      <c r="Y6" s="54"/>
      <c r="Z6" s="54"/>
      <c r="AH6" s="39">
        <v>2</v>
      </c>
      <c r="AI6" s="24">
        <v>4</v>
      </c>
      <c r="AJ6" s="24">
        <v>2</v>
      </c>
      <c r="AK6" s="24" t="s">
        <v>51</v>
      </c>
    </row>
    <row r="7" spans="1:61" ht="12" thickBot="1">
      <c r="I7" s="54"/>
      <c r="J7" s="54"/>
      <c r="K7" s="54"/>
      <c r="L7" s="54"/>
      <c r="M7" s="54"/>
      <c r="N7" s="54"/>
      <c r="O7" s="54"/>
      <c r="P7" s="54"/>
      <c r="Q7" s="319"/>
      <c r="R7" s="319"/>
      <c r="S7" s="54"/>
      <c r="T7" s="54"/>
      <c r="U7" s="54"/>
      <c r="V7" s="54"/>
      <c r="W7" s="54"/>
      <c r="X7" s="54"/>
      <c r="Y7" s="54"/>
      <c r="Z7" s="54"/>
      <c r="AC7" s="133"/>
      <c r="AD7" s="14"/>
      <c r="AH7" s="39">
        <v>3</v>
      </c>
      <c r="AI7" s="24">
        <v>5</v>
      </c>
      <c r="AJ7" s="24">
        <v>3</v>
      </c>
      <c r="AK7" s="24" t="s">
        <v>51</v>
      </c>
    </row>
    <row r="8" spans="1:61" ht="12" customHeight="1">
      <c r="B8" s="16" t="s">
        <v>39</v>
      </c>
      <c r="C8" s="16" t="s">
        <v>39</v>
      </c>
      <c r="D8" s="17"/>
      <c r="F8" s="62"/>
      <c r="G8" s="62"/>
      <c r="H8" s="674" t="s">
        <v>19</v>
      </c>
      <c r="I8" s="64"/>
      <c r="J8" s="676" t="s">
        <v>20</v>
      </c>
      <c r="K8" s="676" t="s">
        <v>21</v>
      </c>
      <c r="L8" s="48" t="s">
        <v>59</v>
      </c>
      <c r="M8" s="676" t="s">
        <v>22</v>
      </c>
      <c r="N8" s="676" t="s">
        <v>23</v>
      </c>
      <c r="O8" s="48"/>
      <c r="P8" s="63" t="s">
        <v>63</v>
      </c>
      <c r="Q8" s="321"/>
      <c r="R8" s="321" t="s">
        <v>63</v>
      </c>
      <c r="S8" s="680" t="s">
        <v>24</v>
      </c>
      <c r="T8" s="683" t="s">
        <v>25</v>
      </c>
      <c r="U8" s="676" t="s">
        <v>26</v>
      </c>
      <c r="V8" s="697" t="s">
        <v>27</v>
      </c>
      <c r="W8" s="65" t="s">
        <v>298</v>
      </c>
      <c r="X8" s="65" t="s">
        <v>298</v>
      </c>
      <c r="Y8" s="65" t="s">
        <v>303</v>
      </c>
      <c r="Z8" s="65"/>
      <c r="AA8" s="686" t="s">
        <v>28</v>
      </c>
      <c r="AB8" s="63"/>
      <c r="AC8" s="688" t="s">
        <v>29</v>
      </c>
      <c r="AD8" s="690" t="s">
        <v>115</v>
      </c>
      <c r="AE8" s="690"/>
      <c r="AF8" s="691"/>
      <c r="AG8" s="39"/>
      <c r="AH8" s="39">
        <v>4</v>
      </c>
      <c r="AI8" s="24">
        <v>6</v>
      </c>
      <c r="AJ8" s="24">
        <v>3</v>
      </c>
      <c r="AK8" s="24" t="s">
        <v>51</v>
      </c>
    </row>
    <row r="9" spans="1:61" ht="15.75" customHeight="1">
      <c r="B9" s="17" t="s">
        <v>40</v>
      </c>
      <c r="C9" s="17" t="s">
        <v>42</v>
      </c>
      <c r="D9" s="17"/>
      <c r="F9" s="62" t="s">
        <v>18</v>
      </c>
      <c r="G9" s="66" t="s">
        <v>30</v>
      </c>
      <c r="H9" s="675"/>
      <c r="I9" s="67" t="s">
        <v>31</v>
      </c>
      <c r="J9" s="677"/>
      <c r="K9" s="677"/>
      <c r="L9" s="68" t="s">
        <v>60</v>
      </c>
      <c r="M9" s="677"/>
      <c r="N9" s="677"/>
      <c r="O9" s="68" t="s">
        <v>66</v>
      </c>
      <c r="P9" s="69" t="s">
        <v>64</v>
      </c>
      <c r="Q9" s="322" t="s">
        <v>66</v>
      </c>
      <c r="R9" s="322" t="s">
        <v>64</v>
      </c>
      <c r="S9" s="681"/>
      <c r="T9" s="684"/>
      <c r="U9" s="677"/>
      <c r="V9" s="698"/>
      <c r="W9" s="70" t="s">
        <v>299</v>
      </c>
      <c r="X9" s="70" t="s">
        <v>301</v>
      </c>
      <c r="Y9" s="70" t="s">
        <v>304</v>
      </c>
      <c r="Z9" s="70" t="s">
        <v>63</v>
      </c>
      <c r="AA9" s="687"/>
      <c r="AB9" s="68" t="s">
        <v>62</v>
      </c>
      <c r="AC9" s="689"/>
      <c r="AD9" s="692"/>
      <c r="AE9" s="692"/>
      <c r="AF9" s="693"/>
      <c r="AG9" s="39"/>
      <c r="AH9" s="39">
        <v>5</v>
      </c>
      <c r="AI9" s="24">
        <v>7</v>
      </c>
      <c r="AJ9" s="24">
        <v>3</v>
      </c>
      <c r="AK9" s="24" t="s">
        <v>51</v>
      </c>
    </row>
    <row r="10" spans="1:61" ht="21" customHeight="1" thickBot="1">
      <c r="B10" s="17"/>
      <c r="C10" s="17" t="s">
        <v>41</v>
      </c>
      <c r="D10" s="17"/>
      <c r="F10" s="66"/>
      <c r="G10" s="66"/>
      <c r="H10" s="675"/>
      <c r="I10" s="67"/>
      <c r="J10" s="678"/>
      <c r="K10" s="678"/>
      <c r="L10" s="69" t="s">
        <v>61</v>
      </c>
      <c r="M10" s="678"/>
      <c r="N10" s="678"/>
      <c r="O10" s="69"/>
      <c r="P10" s="69" t="s">
        <v>65</v>
      </c>
      <c r="Q10" s="322" t="s">
        <v>320</v>
      </c>
      <c r="R10" s="322" t="s">
        <v>65</v>
      </c>
      <c r="S10" s="682"/>
      <c r="T10" s="685"/>
      <c r="U10" s="678"/>
      <c r="V10" s="699"/>
      <c r="W10" s="71" t="s">
        <v>300</v>
      </c>
      <c r="X10" s="71" t="s">
        <v>302</v>
      </c>
      <c r="Y10" s="71" t="s">
        <v>305</v>
      </c>
      <c r="Z10" s="71" t="s">
        <v>56</v>
      </c>
      <c r="AA10" s="687"/>
      <c r="AB10" s="105" t="s">
        <v>67</v>
      </c>
      <c r="AC10" s="689"/>
      <c r="AD10" s="694"/>
      <c r="AE10" s="694"/>
      <c r="AF10" s="695"/>
      <c r="AG10" s="39"/>
      <c r="AH10" s="39">
        <v>6</v>
      </c>
      <c r="AI10" s="24">
        <v>8</v>
      </c>
      <c r="AJ10" s="24">
        <v>3</v>
      </c>
      <c r="AK10" s="24" t="s">
        <v>51</v>
      </c>
    </row>
    <row r="11" spans="1:61" ht="12.75" customHeight="1" thickBot="1">
      <c r="B11" s="18"/>
      <c r="C11" s="18"/>
      <c r="D11" s="17"/>
      <c r="F11" s="72"/>
      <c r="G11" s="72"/>
      <c r="H11" s="72"/>
      <c r="I11" s="73"/>
      <c r="J11" s="73"/>
      <c r="K11" s="73"/>
      <c r="L11" s="73"/>
      <c r="M11" s="679"/>
      <c r="N11" s="73"/>
      <c r="O11" s="73"/>
      <c r="P11" s="73"/>
      <c r="Q11" s="323"/>
      <c r="R11" s="323" t="s">
        <v>319</v>
      </c>
      <c r="S11" s="74"/>
      <c r="T11" s="75"/>
      <c r="U11" s="73"/>
      <c r="V11" s="76"/>
      <c r="W11" s="75"/>
      <c r="X11" s="75"/>
      <c r="Y11" s="75" t="s">
        <v>306</v>
      </c>
      <c r="Z11" s="75"/>
      <c r="AA11" s="125"/>
      <c r="AB11" s="72"/>
      <c r="AC11" s="51"/>
      <c r="AD11" s="47"/>
      <c r="AE11" s="115" t="s">
        <v>68</v>
      </c>
      <c r="AF11" s="115" t="s">
        <v>113</v>
      </c>
      <c r="AG11" s="39"/>
    </row>
    <row r="12" spans="1:61" s="10" customFormat="1" ht="12" hidden="1" customHeight="1">
      <c r="A12" s="15"/>
      <c r="B12" s="15"/>
      <c r="C12" s="15"/>
      <c r="D12" s="15"/>
      <c r="E12" s="40"/>
      <c r="F12" s="77" t="s">
        <v>57</v>
      </c>
      <c r="G12" s="7"/>
      <c r="H12" s="7"/>
      <c r="I12" s="78"/>
      <c r="J12" s="78"/>
      <c r="K12" s="78"/>
      <c r="L12" s="78"/>
      <c r="M12" s="71"/>
      <c r="N12" s="78"/>
      <c r="O12" s="78"/>
      <c r="P12" s="78"/>
      <c r="Q12" s="324"/>
      <c r="R12" s="324"/>
      <c r="S12" s="78"/>
      <c r="T12" s="78"/>
      <c r="U12" s="78"/>
      <c r="V12" s="54"/>
      <c r="W12" s="54"/>
      <c r="X12" s="54"/>
      <c r="Y12" s="54"/>
      <c r="Z12" s="54"/>
      <c r="AA12" s="50"/>
      <c r="AB12" s="7"/>
      <c r="AC12" s="50"/>
      <c r="AD12" s="43"/>
      <c r="AE12" s="15"/>
      <c r="AF12" s="116"/>
      <c r="AG12" s="39"/>
      <c r="AH12" s="25"/>
      <c r="AI12" s="25"/>
      <c r="AJ12" s="25"/>
      <c r="AK12" s="2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</row>
    <row r="13" spans="1:61" s="10" customFormat="1" ht="12" hidden="1" customHeight="1">
      <c r="A13" s="15"/>
      <c r="B13" s="15"/>
      <c r="C13" s="19"/>
      <c r="D13" s="15"/>
      <c r="E13" s="40"/>
      <c r="F13" s="79"/>
      <c r="G13" s="7"/>
      <c r="H13" s="7"/>
      <c r="I13" s="78"/>
      <c r="J13" s="78"/>
      <c r="K13" s="78"/>
      <c r="L13" s="78"/>
      <c r="M13" s="71"/>
      <c r="N13" s="78"/>
      <c r="O13" s="78"/>
      <c r="P13" s="78"/>
      <c r="Q13" s="324"/>
      <c r="R13" s="324"/>
      <c r="S13" s="78"/>
      <c r="T13" s="78"/>
      <c r="U13" s="78"/>
      <c r="V13" s="54"/>
      <c r="W13" s="54"/>
      <c r="X13" s="54"/>
      <c r="Y13" s="54"/>
      <c r="Z13" s="54"/>
      <c r="AA13" s="50"/>
      <c r="AB13" s="7"/>
      <c r="AC13" s="50"/>
      <c r="AD13" s="43"/>
      <c r="AE13" s="15"/>
      <c r="AF13" s="116"/>
      <c r="AG13" s="39"/>
      <c r="AH13" s="25"/>
      <c r="AI13" s="25"/>
      <c r="AJ13" s="25"/>
      <c r="AK13" s="2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</row>
    <row r="14" spans="1:61" s="10" customFormat="1" ht="12" hidden="1" customHeight="1">
      <c r="A14" s="15"/>
      <c r="B14" s="20"/>
      <c r="C14" s="20"/>
      <c r="D14" s="19"/>
      <c r="E14" s="40">
        <v>1</v>
      </c>
      <c r="F14" s="6"/>
      <c r="G14" s="80">
        <f t="shared" ref="G14:H16" ca="1" si="0">ROUNDDOWN((NOW()-B14)/365,0)</f>
        <v>126</v>
      </c>
      <c r="H14" s="80">
        <f t="shared" ca="1" si="0"/>
        <v>126</v>
      </c>
      <c r="I14" s="81"/>
      <c r="J14" s="81"/>
      <c r="K14" s="81"/>
      <c r="L14" s="81"/>
      <c r="M14" s="81"/>
      <c r="N14" s="81">
        <v>0</v>
      </c>
      <c r="O14" s="81"/>
      <c r="P14" s="82"/>
      <c r="Q14" s="325"/>
      <c r="R14" s="325"/>
      <c r="S14" s="82" t="e">
        <f>-PMT(15%/12,AC14,AA14)</f>
        <v>#REF!</v>
      </c>
      <c r="T14" s="83" t="e">
        <f>M14-N14+S14</f>
        <v>#REF!</v>
      </c>
      <c r="U14" s="83" t="e">
        <f>J14+K14-T14</f>
        <v>#REF!</v>
      </c>
      <c r="V14" s="81" t="s">
        <v>32</v>
      </c>
      <c r="W14" s="81"/>
      <c r="X14" s="81"/>
      <c r="Y14" s="81"/>
      <c r="Z14" s="81"/>
      <c r="AA14" s="52" t="e">
        <f>ROUNDDOWN(J14*#REF!,-2)</f>
        <v>#REF!</v>
      </c>
      <c r="AB14" s="106"/>
      <c r="AC14" s="134">
        <v>36</v>
      </c>
      <c r="AD14" s="44"/>
      <c r="AE14" s="15"/>
      <c r="AF14" s="117" t="e">
        <f>IF(U14&lt;3000,"ALERT - NTHP IS BELOW 3K","GO")</f>
        <v>#REF!</v>
      </c>
      <c r="AG14" s="42" t="e">
        <f>S14*2</f>
        <v>#REF!</v>
      </c>
      <c r="AH14" s="25"/>
      <c r="AI14" s="25"/>
      <c r="AJ14" s="25"/>
      <c r="AK14" s="2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</row>
    <row r="15" spans="1:61" s="10" customFormat="1" ht="13.5" hidden="1" customHeight="1">
      <c r="A15" s="15"/>
      <c r="B15" s="20"/>
      <c r="C15" s="20"/>
      <c r="D15" s="19"/>
      <c r="E15" s="40"/>
      <c r="F15" s="84"/>
      <c r="G15" s="80">
        <f t="shared" ca="1" si="0"/>
        <v>126</v>
      </c>
      <c r="H15" s="80">
        <f t="shared" ca="1" si="0"/>
        <v>126</v>
      </c>
      <c r="I15" s="81"/>
      <c r="J15" s="85"/>
      <c r="K15" s="81"/>
      <c r="L15" s="81"/>
      <c r="M15" s="78"/>
      <c r="N15" s="86">
        <v>0</v>
      </c>
      <c r="O15" s="86"/>
      <c r="P15" s="87"/>
      <c r="Q15" s="326"/>
      <c r="R15" s="326"/>
      <c r="S15" s="87"/>
      <c r="T15" s="83">
        <f>M15-N15+S15</f>
        <v>0</v>
      </c>
      <c r="U15" s="83">
        <f>J15+K15-T15</f>
        <v>0</v>
      </c>
      <c r="V15" s="78"/>
      <c r="W15" s="78"/>
      <c r="X15" s="78"/>
      <c r="Y15" s="78"/>
      <c r="Z15" s="78"/>
      <c r="AA15" s="52"/>
      <c r="AB15" s="106"/>
      <c r="AC15" s="135"/>
      <c r="AD15" s="45"/>
      <c r="AE15" s="15"/>
      <c r="AF15" s="118" t="str">
        <f>IF(J15&lt;J14,"ALERT - ADD CO-MAKER", "GO")</f>
        <v>GO</v>
      </c>
      <c r="AG15" s="39"/>
      <c r="AH15" s="25"/>
      <c r="AI15" s="25"/>
      <c r="AJ15" s="25"/>
      <c r="AK15" s="2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</row>
    <row r="16" spans="1:61" s="10" customFormat="1" ht="13.5" hidden="1" customHeight="1">
      <c r="A16" s="15"/>
      <c r="B16" s="20"/>
      <c r="C16" s="20"/>
      <c r="D16" s="19"/>
      <c r="E16" s="40"/>
      <c r="F16" s="84"/>
      <c r="G16" s="80">
        <f t="shared" ca="1" si="0"/>
        <v>126</v>
      </c>
      <c r="H16" s="80">
        <f t="shared" ca="1" si="0"/>
        <v>126</v>
      </c>
      <c r="I16" s="81"/>
      <c r="J16" s="85"/>
      <c r="K16" s="81"/>
      <c r="L16" s="81"/>
      <c r="M16" s="78"/>
      <c r="N16" s="86">
        <v>0</v>
      </c>
      <c r="O16" s="86"/>
      <c r="P16" s="87"/>
      <c r="Q16" s="326"/>
      <c r="R16" s="326"/>
      <c r="S16" s="87"/>
      <c r="T16" s="83">
        <f>M16-N16+S16</f>
        <v>0</v>
      </c>
      <c r="U16" s="83">
        <f>J16+K16-T16</f>
        <v>0</v>
      </c>
      <c r="V16" s="78"/>
      <c r="W16" s="78"/>
      <c r="X16" s="78"/>
      <c r="Y16" s="78"/>
      <c r="Z16" s="78"/>
      <c r="AA16" s="52"/>
      <c r="AB16" s="106"/>
      <c r="AC16" s="135"/>
      <c r="AD16" s="45"/>
      <c r="AE16" s="15"/>
      <c r="AF16" s="118" t="str">
        <f>IF(J16&lt;J15,"ALERT - ADD CO-MAKER", "GO")</f>
        <v>GO</v>
      </c>
      <c r="AG16" s="39"/>
      <c r="AH16" s="25"/>
      <c r="AI16" s="25"/>
      <c r="AJ16" s="25"/>
      <c r="AK16" s="2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</row>
    <row r="17" spans="1:61" s="11" customFormat="1" ht="13.5" hidden="1" customHeight="1">
      <c r="A17" s="15"/>
      <c r="B17" s="19"/>
      <c r="C17" s="19"/>
      <c r="D17" s="15"/>
      <c r="E17" s="40"/>
      <c r="F17" s="84"/>
      <c r="G17" s="80"/>
      <c r="H17" s="80"/>
      <c r="I17" s="81"/>
      <c r="J17" s="85"/>
      <c r="K17" s="81"/>
      <c r="L17" s="81"/>
      <c r="M17" s="78"/>
      <c r="N17" s="86"/>
      <c r="O17" s="86"/>
      <c r="P17" s="87"/>
      <c r="Q17" s="326"/>
      <c r="R17" s="326"/>
      <c r="S17" s="87"/>
      <c r="T17" s="83"/>
      <c r="U17" s="83"/>
      <c r="V17" s="78"/>
      <c r="W17" s="78"/>
      <c r="X17" s="78"/>
      <c r="Y17" s="78"/>
      <c r="Z17" s="78"/>
      <c r="AA17" s="52"/>
      <c r="AB17" s="106"/>
      <c r="AC17" s="135"/>
      <c r="AD17" s="45"/>
      <c r="AE17" s="15"/>
      <c r="AF17" s="118"/>
      <c r="AG17" s="39"/>
      <c r="AH17" s="25"/>
      <c r="AI17" s="25"/>
      <c r="AJ17" s="25"/>
      <c r="AK17" s="2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</row>
    <row r="18" spans="1:61" s="11" customFormat="1" ht="13.5" hidden="1" customHeight="1">
      <c r="A18" s="15"/>
      <c r="B18" s="20"/>
      <c r="C18" s="20"/>
      <c r="D18" s="15"/>
      <c r="E18" s="40">
        <v>2</v>
      </c>
      <c r="F18" s="6"/>
      <c r="G18" s="80">
        <f t="shared" ref="G18:H20" ca="1" si="1">ROUNDDOWN((NOW()-B18)/365,0)</f>
        <v>126</v>
      </c>
      <c r="H18" s="80">
        <f t="shared" ca="1" si="1"/>
        <v>126</v>
      </c>
      <c r="I18" s="81"/>
      <c r="J18" s="85"/>
      <c r="K18" s="81"/>
      <c r="L18" s="81"/>
      <c r="M18" s="78"/>
      <c r="N18" s="86">
        <v>0</v>
      </c>
      <c r="O18" s="86"/>
      <c r="P18" s="87"/>
      <c r="Q18" s="326"/>
      <c r="R18" s="326"/>
      <c r="S18" s="87" t="e">
        <f>-PMT(15%/12,AC18,AA18)</f>
        <v>#REF!</v>
      </c>
      <c r="T18" s="83" t="e">
        <f>M18-N18+S18</f>
        <v>#REF!</v>
      </c>
      <c r="U18" s="83" t="e">
        <f>J18+K18-T18</f>
        <v>#REF!</v>
      </c>
      <c r="V18" s="81" t="s">
        <v>32</v>
      </c>
      <c r="W18" s="81"/>
      <c r="X18" s="81"/>
      <c r="Y18" s="81"/>
      <c r="Z18" s="81"/>
      <c r="AA18" s="52" t="e">
        <f>ROUNDDOWN(J18*#REF!,-2)</f>
        <v>#REF!</v>
      </c>
      <c r="AB18" s="106"/>
      <c r="AC18" s="134">
        <v>36</v>
      </c>
      <c r="AD18" s="44"/>
      <c r="AE18" s="15"/>
      <c r="AF18" s="117" t="e">
        <f>IF(U18&lt;3000,"ALERT - NTHP IS BELOW 3K","GO")</f>
        <v>#REF!</v>
      </c>
      <c r="AG18" s="42" t="e">
        <f>S18*2</f>
        <v>#REF!</v>
      </c>
      <c r="AH18" s="25"/>
      <c r="AI18" s="25"/>
      <c r="AJ18" s="25"/>
      <c r="AK18" s="2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</row>
    <row r="19" spans="1:61" s="11" customFormat="1" ht="13.5" hidden="1" customHeight="1">
      <c r="A19" s="15"/>
      <c r="B19" s="20"/>
      <c r="C19" s="20"/>
      <c r="D19" s="15"/>
      <c r="E19" s="40"/>
      <c r="F19" s="84"/>
      <c r="G19" s="80">
        <f t="shared" ca="1" si="1"/>
        <v>126</v>
      </c>
      <c r="H19" s="80">
        <f t="shared" ca="1" si="1"/>
        <v>126</v>
      </c>
      <c r="I19" s="81"/>
      <c r="J19" s="85"/>
      <c r="K19" s="81"/>
      <c r="L19" s="81"/>
      <c r="M19" s="78"/>
      <c r="N19" s="86"/>
      <c r="O19" s="86"/>
      <c r="P19" s="87"/>
      <c r="Q19" s="326"/>
      <c r="R19" s="326"/>
      <c r="S19" s="87"/>
      <c r="T19" s="83">
        <f>M19-N19+S19</f>
        <v>0</v>
      </c>
      <c r="U19" s="83">
        <f>J19+K19-T19</f>
        <v>0</v>
      </c>
      <c r="V19" s="78"/>
      <c r="W19" s="78"/>
      <c r="X19" s="78"/>
      <c r="Y19" s="78"/>
      <c r="Z19" s="78"/>
      <c r="AA19" s="52"/>
      <c r="AB19" s="106"/>
      <c r="AC19" s="135"/>
      <c r="AD19" s="45"/>
      <c r="AE19" s="15"/>
      <c r="AF19" s="118" t="str">
        <f>IF(J19&lt;J18,"ALERT - ADD CO-MAKER", "GO")</f>
        <v>GO</v>
      </c>
      <c r="AG19" s="39"/>
      <c r="AH19" s="25"/>
      <c r="AI19" s="25"/>
      <c r="AJ19" s="25"/>
      <c r="AK19" s="2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</row>
    <row r="20" spans="1:61" s="11" customFormat="1" ht="13.5" hidden="1" customHeight="1">
      <c r="A20" s="15"/>
      <c r="B20" s="20"/>
      <c r="C20" s="20"/>
      <c r="D20" s="15"/>
      <c r="E20" s="40"/>
      <c r="F20" s="84"/>
      <c r="G20" s="80">
        <f t="shared" ca="1" si="1"/>
        <v>126</v>
      </c>
      <c r="H20" s="80">
        <f t="shared" ca="1" si="1"/>
        <v>126</v>
      </c>
      <c r="I20" s="81"/>
      <c r="J20" s="85"/>
      <c r="K20" s="81"/>
      <c r="L20" s="81"/>
      <c r="M20" s="78"/>
      <c r="N20" s="86"/>
      <c r="O20" s="86"/>
      <c r="P20" s="87"/>
      <c r="Q20" s="326"/>
      <c r="R20" s="326"/>
      <c r="S20" s="87"/>
      <c r="T20" s="83">
        <f>M20-N20+S20</f>
        <v>0</v>
      </c>
      <c r="U20" s="83">
        <f>J20+K20-T20</f>
        <v>0</v>
      </c>
      <c r="V20" s="78"/>
      <c r="W20" s="78"/>
      <c r="X20" s="78"/>
      <c r="Y20" s="78"/>
      <c r="Z20" s="78"/>
      <c r="AA20" s="52"/>
      <c r="AB20" s="106"/>
      <c r="AC20" s="135"/>
      <c r="AD20" s="45"/>
      <c r="AE20" s="15"/>
      <c r="AF20" s="118" t="str">
        <f>IF(J20&lt;J19,"ALERT - ADD CO-MAKER", "GO")</f>
        <v>GO</v>
      </c>
      <c r="AG20" s="39"/>
      <c r="AH20" s="25"/>
      <c r="AI20" s="25"/>
      <c r="AJ20" s="25"/>
      <c r="AK20" s="2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</row>
    <row r="21" spans="1:61" s="11" customFormat="1" ht="13.5" hidden="1" customHeight="1">
      <c r="A21" s="15"/>
      <c r="B21" s="19"/>
      <c r="C21" s="19"/>
      <c r="D21" s="15"/>
      <c r="E21" s="40"/>
      <c r="F21" s="84"/>
      <c r="G21" s="80"/>
      <c r="H21" s="80"/>
      <c r="I21" s="81"/>
      <c r="J21" s="85"/>
      <c r="K21" s="81"/>
      <c r="L21" s="81"/>
      <c r="M21" s="78"/>
      <c r="N21" s="86"/>
      <c r="O21" s="86"/>
      <c r="P21" s="87"/>
      <c r="Q21" s="326"/>
      <c r="R21" s="326"/>
      <c r="S21" s="87"/>
      <c r="T21" s="83"/>
      <c r="U21" s="83"/>
      <c r="V21" s="78"/>
      <c r="W21" s="78"/>
      <c r="X21" s="78"/>
      <c r="Y21" s="78"/>
      <c r="Z21" s="78"/>
      <c r="AA21" s="52"/>
      <c r="AB21" s="106"/>
      <c r="AC21" s="135"/>
      <c r="AD21" s="45"/>
      <c r="AE21" s="15"/>
      <c r="AF21" s="118"/>
      <c r="AG21" s="39"/>
      <c r="AH21" s="25"/>
      <c r="AI21" s="25"/>
      <c r="AJ21" s="25"/>
      <c r="AK21" s="2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</row>
    <row r="22" spans="1:61" s="11" customFormat="1" ht="12" thickBot="1">
      <c r="A22" s="15"/>
      <c r="B22" s="19"/>
      <c r="C22" s="19"/>
      <c r="D22" s="15"/>
      <c r="E22" s="40"/>
      <c r="F22" s="88"/>
      <c r="G22" s="80"/>
      <c r="H22" s="80"/>
      <c r="I22" s="81"/>
      <c r="J22" s="81"/>
      <c r="K22" s="81"/>
      <c r="L22" s="81"/>
      <c r="M22" s="81"/>
      <c r="N22" s="86"/>
      <c r="O22" s="86"/>
      <c r="P22" s="87"/>
      <c r="Q22" s="326"/>
      <c r="R22" s="326"/>
      <c r="S22" s="87"/>
      <c r="T22" s="83"/>
      <c r="U22" s="83"/>
      <c r="V22" s="78"/>
      <c r="W22" s="78"/>
      <c r="X22" s="78"/>
      <c r="Y22" s="78"/>
      <c r="Z22" s="78"/>
      <c r="AA22" s="52"/>
      <c r="AB22" s="106"/>
      <c r="AC22" s="135"/>
      <c r="AD22" s="45"/>
      <c r="AE22" s="15"/>
      <c r="AF22" s="118"/>
      <c r="AG22" s="39"/>
      <c r="AH22" s="25"/>
      <c r="AI22" s="25"/>
      <c r="AJ22" s="25"/>
      <c r="AK22" s="2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</row>
    <row r="23" spans="1:61" s="11" customFormat="1" ht="12" hidden="1" outlineLevel="1" thickBot="1">
      <c r="A23" s="15"/>
      <c r="B23" s="19"/>
      <c r="C23" s="19"/>
      <c r="D23" s="15"/>
      <c r="E23" s="40"/>
      <c r="F23" s="79" t="str">
        <f>IF('INPUT FIELDS'!D16&gt;0,'INPUT FIELDS'!D16,"")</f>
        <v>PROVINCIAL TREASURER OFFICE</v>
      </c>
      <c r="G23" s="80"/>
      <c r="H23" s="80"/>
      <c r="I23" s="81"/>
      <c r="J23" s="81"/>
      <c r="K23" s="81"/>
      <c r="L23" s="81"/>
      <c r="M23" s="81"/>
      <c r="N23" s="86"/>
      <c r="O23" s="89"/>
      <c r="P23" s="89"/>
      <c r="Q23" s="327"/>
      <c r="R23" s="327"/>
      <c r="S23" s="87"/>
      <c r="T23" s="83"/>
      <c r="U23" s="81"/>
      <c r="V23" s="78"/>
      <c r="W23" s="78"/>
      <c r="X23" s="78"/>
      <c r="Y23" s="78"/>
      <c r="Z23" s="90"/>
      <c r="AA23" s="126"/>
      <c r="AB23" s="107"/>
      <c r="AC23" s="135"/>
      <c r="AD23" s="45"/>
      <c r="AE23" s="17"/>
      <c r="AF23" s="119"/>
      <c r="AG23" s="39"/>
      <c r="AH23" s="25"/>
      <c r="AI23" s="25"/>
      <c r="AJ23" s="25"/>
      <c r="AK23" s="2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</row>
    <row r="24" spans="1:61" s="11" customFormat="1" ht="15.75" customHeight="1" collapsed="1" thickBot="1">
      <c r="A24" s="15"/>
      <c r="B24" s="20">
        <f>'INPUT FIELDS'!E37</f>
        <v>29144</v>
      </c>
      <c r="C24" s="20">
        <f>'INPUT FIELDS'!F37</f>
        <v>39218</v>
      </c>
      <c r="D24" s="15"/>
      <c r="E24" s="40">
        <f>IF(B24&gt;0,1," ")</f>
        <v>1</v>
      </c>
      <c r="F24" s="294" t="str">
        <f>IF(B24&gt;0,'INPUT FIELDS'!D37," ")</f>
        <v>RABADAM, MARIA EMY TAN</v>
      </c>
      <c r="G24" s="80">
        <f ca="1">IF(B24&gt;0,'INPUT FIELDS'!G37," ")</f>
        <v>46</v>
      </c>
      <c r="H24" s="80">
        <f ca="1">IF(B24&gt;0,'INPUT FIELDS'!H37," ")</f>
        <v>18</v>
      </c>
      <c r="I24" s="91" t="str">
        <f>IF(B24&gt;0,'INPUT FIELDS'!I37," ")</f>
        <v>ADMIN AIDE I</v>
      </c>
      <c r="J24" s="92">
        <f>IF(B24&gt;0,'INPUT FIELDS'!J37," ")</f>
        <v>38000</v>
      </c>
      <c r="K24" s="92">
        <f>IF(B24&gt;0,'INPUT FIELDS'!K37," ")</f>
        <v>2000</v>
      </c>
      <c r="L24" s="92">
        <f>IF(B24&gt;0,'INPUT FIELDS'!L37," ")</f>
        <v>40000</v>
      </c>
      <c r="M24" s="92">
        <f>IF(B24&gt;0,'INPUT FIELDS'!M37," ")</f>
        <v>26000</v>
      </c>
      <c r="N24" s="92">
        <f>IF(B24&gt;0,'INPUT FIELDS'!N37," ")</f>
        <v>5000</v>
      </c>
      <c r="O24" s="93">
        <f>IF(B24&gt;0,IF(V24="NEW",'INPUT FIELDS'!O37,Q24)," ")</f>
        <v>0.4</v>
      </c>
      <c r="P24" s="92">
        <f>IF(B24&gt;0,IF(V24="NEW",'INPUT FIELDS'!P37,R24)," ")</f>
        <v>16000</v>
      </c>
      <c r="Q24" s="328">
        <f>IF(L24&lt;10000,20%,IF(L24&lt;13000,30%,IF(L24&lt;38000,35%,40%)))</f>
        <v>0.4</v>
      </c>
      <c r="R24" s="329">
        <f>Q24*L24</f>
        <v>16000</v>
      </c>
      <c r="S24" s="92">
        <f>IF(B24&gt;0,'INPUT FIELDS'!Q37," ")</f>
        <v>6392.3145340533565</v>
      </c>
      <c r="T24" s="92">
        <f>IF(B24&gt;0,'INPUT FIELDS'!R37," ")</f>
        <v>27392.314534053356</v>
      </c>
      <c r="U24" s="92">
        <f>IF(B24&gt;0,'INPUT FIELDS'!S37," ")</f>
        <v>12607.685465946644</v>
      </c>
      <c r="V24" s="92" t="str">
        <f>IF(B24&gt;0,'INPUT FIELDS'!T37," ")</f>
        <v>RENEWAL</v>
      </c>
      <c r="W24" s="92">
        <f>L24-M24+N24</f>
        <v>19000</v>
      </c>
      <c r="X24" s="92">
        <f>W24-4000</f>
        <v>15000</v>
      </c>
      <c r="Y24" s="92">
        <f>IF(P24&lt;X24,P24,X24)</f>
        <v>15000</v>
      </c>
      <c r="Z24" s="92">
        <f>IF(B24&gt;0,-PV(AB24/12,AC24,Y24),"")</f>
        <v>168248.91739456065</v>
      </c>
      <c r="AA24" s="285">
        <v>71700</v>
      </c>
      <c r="AB24" s="108">
        <f>IF(B24&gt;0,'INPUT FIELDS'!W37," ")</f>
        <v>0.12651000000000001</v>
      </c>
      <c r="AC24" s="286">
        <v>12</v>
      </c>
      <c r="AD24" s="12"/>
      <c r="AE24" s="120" t="str">
        <f>IF(AA24&gt;0,IF(P24&lt;S24,"CHK IGIR","GO")," ")</f>
        <v>GO</v>
      </c>
      <c r="AF24" s="121" t="str">
        <f>IF(AA24&gt;0,IF(U24&lt;4000," NTHP BELOW 4K","GO")," ")</f>
        <v>GO</v>
      </c>
      <c r="AG24" s="39"/>
      <c r="AH24" s="25"/>
      <c r="AI24" s="25"/>
      <c r="AJ24" s="25"/>
      <c r="AK24" s="2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</row>
    <row r="25" spans="1:61" s="11" customFormat="1" ht="15.75" customHeight="1" thickBot="1">
      <c r="A25" s="15"/>
      <c r="B25" s="20"/>
      <c r="C25" s="20"/>
      <c r="D25" s="15"/>
      <c r="E25" s="40"/>
      <c r="F25" s="79" t="str">
        <f>IF('INPUT FIELDS'!AV16&gt;0,'INPUT FIELDS'!AV16,"")</f>
        <v>PROVINCIAL ENGINEERING OFFICE</v>
      </c>
      <c r="G25" s="80" t="str">
        <f>IF(E25&gt;0,'INPUT FIELDS'!G38," ")</f>
        <v xml:space="preserve"> </v>
      </c>
      <c r="H25" s="80" t="str">
        <f>IF(E25&gt;0,'INPUT FIELDS'!H38," ")</f>
        <v xml:space="preserve"> </v>
      </c>
      <c r="I25" s="80" t="str">
        <f>IF(E25&gt;0,'INPUT FIELDS'!I38," ")</f>
        <v xml:space="preserve"> </v>
      </c>
      <c r="J25" s="92" t="str">
        <f>IF(E25&gt;0,'INPUT FIELDS'!J38," ")</f>
        <v xml:space="preserve"> </v>
      </c>
      <c r="K25" s="92" t="str">
        <f>IF(E25&gt;0,'INPUT FIELDS'!K38," ")</f>
        <v xml:space="preserve"> </v>
      </c>
      <c r="L25" s="92" t="str">
        <f>IF(E25&gt;0,'INPUT FIELDS'!L38," ")</f>
        <v xml:space="preserve"> </v>
      </c>
      <c r="M25" s="92" t="str">
        <f>IF(E25&gt;0,'INPUT FIELDS'!M38," ")</f>
        <v xml:space="preserve"> </v>
      </c>
      <c r="N25" s="92" t="str">
        <f>IF(E25&gt;0,'INPUT FIELDS'!N38," ")</f>
        <v xml:space="preserve"> </v>
      </c>
      <c r="O25" s="93" t="str">
        <f>IF(E25&gt;0,'INPUT FIELDS'!O38," ")</f>
        <v xml:space="preserve"> </v>
      </c>
      <c r="P25" s="92" t="str">
        <f>IF(E25&gt;0,'INPUT FIELDS'!P38," ")</f>
        <v xml:space="preserve"> </v>
      </c>
      <c r="Q25" s="329"/>
      <c r="R25" s="329"/>
      <c r="S25" s="92" t="str">
        <f>IF(E25&gt;0,'INPUT FIELDS'!Q38," ")</f>
        <v xml:space="preserve"> </v>
      </c>
      <c r="T25" s="92" t="str">
        <f>IF(E25&gt;0,'INPUT FIELDS'!R38," ")</f>
        <v xml:space="preserve"> </v>
      </c>
      <c r="U25" s="92" t="str">
        <f>IF(E25&gt;0,'INPUT FIELDS'!S38," ")</f>
        <v xml:space="preserve"> </v>
      </c>
      <c r="V25" s="92" t="str">
        <f>IF(E25&gt;0,'INPUT FIELDS'!T38," ")</f>
        <v xml:space="preserve"> </v>
      </c>
      <c r="W25" s="92"/>
      <c r="X25" s="92"/>
      <c r="Y25" s="92"/>
      <c r="Z25" s="92" t="str">
        <f>IF(E25&gt;0,'INPUT FIELDS'!U38," ")</f>
        <v xml:space="preserve"> </v>
      </c>
      <c r="AA25" s="285"/>
      <c r="AB25" s="287"/>
      <c r="AC25" s="286"/>
      <c r="AD25" s="12"/>
      <c r="AE25" s="122"/>
      <c r="AF25" s="119"/>
      <c r="AG25" s="39"/>
      <c r="AH25" s="25"/>
      <c r="AI25" s="25"/>
      <c r="AJ25" s="25"/>
      <c r="AK25" s="2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</row>
    <row r="26" spans="1:61" s="11" customFormat="1" ht="15.75" customHeight="1" thickBot="1">
      <c r="A26" s="15"/>
      <c r="B26" s="20">
        <f>'INPUT FIELDS'!E39</f>
        <v>30469</v>
      </c>
      <c r="C26" s="20">
        <f>'INPUT FIELDS'!F39</f>
        <v>40525</v>
      </c>
      <c r="D26" s="15"/>
      <c r="E26" s="40">
        <f>IF(B26&gt;0,2," ")</f>
        <v>2</v>
      </c>
      <c r="F26" s="294" t="str">
        <f>IF(B26&gt;0,'INPUT FIELDS'!D39," ")</f>
        <v>LEJAS, ALLAN GULFERIC</v>
      </c>
      <c r="G26" s="80">
        <f ca="1">IF(B26&gt;0,'INPUT FIELDS'!G39," ")</f>
        <v>42</v>
      </c>
      <c r="H26" s="80">
        <f ca="1">IF(B26&gt;0,'INPUT FIELDS'!H39," ")</f>
        <v>15</v>
      </c>
      <c r="I26" s="91" t="str">
        <f>IF(B26&gt;0,'INPUT FIELDS'!I39," ")</f>
        <v>CM CAPATAZ</v>
      </c>
      <c r="J26" s="92">
        <f>IF(B26&gt;0,'INPUT FIELDS'!J39," ")</f>
        <v>12139</v>
      </c>
      <c r="K26" s="92">
        <f>IF(B26&gt;0,'INPUT FIELDS'!K39," ")</f>
        <v>2000</v>
      </c>
      <c r="L26" s="92">
        <f>IF(B26&gt;0,'INPUT FIELDS'!L39," ")</f>
        <v>14139</v>
      </c>
      <c r="M26" s="92">
        <f>IF(B26&gt;0,'INPUT FIELDS'!M39," ")</f>
        <v>6939.36</v>
      </c>
      <c r="N26" s="92">
        <f>IF(B26&gt;0,'INPUT FIELDS'!N39," ")</f>
        <v>0</v>
      </c>
      <c r="O26" s="93">
        <f>IF(B26&gt;0,IF(V26="NEW",'INPUT FIELDS'!O39,Q26)," ")</f>
        <v>0.3</v>
      </c>
      <c r="P26" s="92">
        <f>IF(B26&gt;0,IF(V26="NEW",'INPUT FIELDS'!P39,R26)," ")</f>
        <v>4241.7</v>
      </c>
      <c r="Q26" s="328">
        <f>IF(L26&lt;10000,20%,IF(L26&lt;13000,30%,IF(L26&lt;38000,35%,40%)))</f>
        <v>0.35</v>
      </c>
      <c r="R26" s="329">
        <f>Q26*L26</f>
        <v>4948.6499999999996</v>
      </c>
      <c r="S26" s="92">
        <f>IF(B26&gt;0,'INPUT FIELDS'!Q39," ")</f>
        <v>3191.4664878241133</v>
      </c>
      <c r="T26" s="92">
        <f>IF(B26&gt;0,'INPUT FIELDS'!R39," ")</f>
        <v>10130.826487824113</v>
      </c>
      <c r="U26" s="92">
        <f>IF(B26&gt;0,'INPUT FIELDS'!S39," ")</f>
        <v>4008.1735121758866</v>
      </c>
      <c r="V26" s="92" t="str">
        <f>IF(B26&gt;0,'INPUT FIELDS'!T39," ")</f>
        <v>NEW</v>
      </c>
      <c r="W26" s="92">
        <f>L26-M26+N26</f>
        <v>7199.64</v>
      </c>
      <c r="X26" s="92">
        <f>W26-4000</f>
        <v>3199.6400000000003</v>
      </c>
      <c r="Y26" s="92">
        <f>IF(P26&lt;X26,P26,X26)</f>
        <v>3199.6400000000003</v>
      </c>
      <c r="Z26" s="92">
        <f>IF(B26&gt;0,-PV(AB26/12,AC26,Y26),"")</f>
        <v>113289.39889527221</v>
      </c>
      <c r="AA26" s="285">
        <v>113000</v>
      </c>
      <c r="AB26" s="108">
        <f>IF(B26&gt;0,'INPUT FIELDS'!W39," ")</f>
        <v>0.15810000000000002</v>
      </c>
      <c r="AC26" s="286">
        <v>48</v>
      </c>
      <c r="AD26" s="12"/>
      <c r="AE26" s="120" t="str">
        <f>IF(AA26&gt;0,IF(P26&lt;S26,"CHK IGIR","GO")," ")</f>
        <v>GO</v>
      </c>
      <c r="AF26" s="121" t="str">
        <f>IF(AA26&gt;0,IF(U26&lt;4000," NTHP BELOW 4K","GO")," ")</f>
        <v>GO</v>
      </c>
      <c r="AG26" s="39"/>
      <c r="AH26" s="25"/>
      <c r="AI26" s="25"/>
      <c r="AJ26" s="25"/>
      <c r="AK26" s="2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</row>
    <row r="27" spans="1:61" s="11" customFormat="1" ht="15.75" customHeight="1" thickBot="1">
      <c r="A27" s="15"/>
      <c r="B27" s="20"/>
      <c r="C27" s="20"/>
      <c r="D27" s="15"/>
      <c r="E27" s="40"/>
      <c r="F27" s="79" t="str">
        <f>IF('INPUT FIELDS'!AX16&gt;0,'INPUT FIELDS'!AX16,"")</f>
        <v>PROVINCIAL AGRICULTURE OFFICE</v>
      </c>
      <c r="G27" s="80" t="str">
        <f>IF(E27&gt;0,'INPUT FIELDS'!G40," ")</f>
        <v xml:space="preserve"> </v>
      </c>
      <c r="H27" s="80" t="str">
        <f>IF(E27&gt;0,'INPUT FIELDS'!H40," ")</f>
        <v xml:space="preserve"> </v>
      </c>
      <c r="I27" s="80" t="str">
        <f>IF(E27&gt;0,'INPUT FIELDS'!I40," ")</f>
        <v xml:space="preserve"> </v>
      </c>
      <c r="J27" s="92" t="str">
        <f>IF(E27&gt;0,'INPUT FIELDS'!J40," ")</f>
        <v xml:space="preserve"> </v>
      </c>
      <c r="K27" s="92" t="str">
        <f>IF(E27&gt;0,'INPUT FIELDS'!K40," ")</f>
        <v xml:space="preserve"> </v>
      </c>
      <c r="L27" s="92" t="str">
        <f>IF(E27&gt;0,'INPUT FIELDS'!L40," ")</f>
        <v xml:space="preserve"> </v>
      </c>
      <c r="M27" s="92" t="str">
        <f>IF(E27&gt;0,'INPUT FIELDS'!M40," ")</f>
        <v xml:space="preserve"> </v>
      </c>
      <c r="N27" s="92" t="str">
        <f>IF(E27&gt;0,'INPUT FIELDS'!N40," ")</f>
        <v xml:space="preserve"> </v>
      </c>
      <c r="O27" s="93" t="str">
        <f>IF(E27&gt;0,'INPUT FIELDS'!O40," ")</f>
        <v xml:space="preserve"> </v>
      </c>
      <c r="P27" s="92" t="str">
        <f>IF(E27&gt;0,'INPUT FIELDS'!P40," ")</f>
        <v xml:space="preserve"> </v>
      </c>
      <c r="Q27" s="329"/>
      <c r="R27" s="329"/>
      <c r="S27" s="92" t="str">
        <f>IF(E27&gt;0,'INPUT FIELDS'!Q40," ")</f>
        <v xml:space="preserve"> </v>
      </c>
      <c r="T27" s="92" t="str">
        <f>IF(E27&gt;0,'INPUT FIELDS'!R40," ")</f>
        <v xml:space="preserve"> </v>
      </c>
      <c r="U27" s="92" t="str">
        <f>IF(E27&gt;0,'INPUT FIELDS'!S40," ")</f>
        <v xml:space="preserve"> </v>
      </c>
      <c r="V27" s="92" t="str">
        <f>IF(E27&gt;0,'INPUT FIELDS'!T40," ")</f>
        <v xml:space="preserve"> </v>
      </c>
      <c r="W27" s="92"/>
      <c r="X27" s="92"/>
      <c r="Y27" s="92"/>
      <c r="Z27" s="92" t="str">
        <f>IF(E27&gt;0,'INPUT FIELDS'!U40," ")</f>
        <v xml:space="preserve"> </v>
      </c>
      <c r="AA27" s="285"/>
      <c r="AB27" s="287"/>
      <c r="AC27" s="286"/>
      <c r="AD27" s="12"/>
      <c r="AE27" s="122"/>
      <c r="AF27" s="119"/>
      <c r="AG27" s="39"/>
      <c r="AH27" s="25"/>
      <c r="AI27" s="25"/>
      <c r="AJ27" s="25"/>
      <c r="AK27" s="2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</row>
    <row r="28" spans="1:61" s="11" customFormat="1" ht="15.75" customHeight="1" thickBot="1">
      <c r="A28" s="15"/>
      <c r="B28" s="20">
        <f>'INPUT FIELDS'!E41</f>
        <v>112566</v>
      </c>
      <c r="C28" s="20">
        <f>'INPUT FIELDS'!F41</f>
        <v>34541</v>
      </c>
      <c r="D28" s="15"/>
      <c r="E28" s="40">
        <f>IF(B28&gt;0,3," ")</f>
        <v>3</v>
      </c>
      <c r="F28" s="294" t="str">
        <f>IF(B28&gt;0,'INPUT FIELDS'!D41," ")</f>
        <v>NUNEZ, JOSE JR ADESAS</v>
      </c>
      <c r="G28" s="80">
        <f ca="1">IF(B28&gt;0,'INPUT FIELDS'!G41," ")</f>
        <v>-182</v>
      </c>
      <c r="H28" s="80">
        <f ca="1">IF(B28&gt;0,'INPUT FIELDS'!H41," ")</f>
        <v>31</v>
      </c>
      <c r="I28" s="91" t="str">
        <f>IF(B28&gt;0,'INPUT FIELDS'!I41," ")</f>
        <v>DRAFTSMAN I</v>
      </c>
      <c r="J28" s="92">
        <f>IF(B28&gt;0,'INPUT FIELDS'!J41," ")</f>
        <v>13853</v>
      </c>
      <c r="K28" s="92">
        <f>IF(B28&gt;0,'INPUT FIELDS'!K41," ")</f>
        <v>2000</v>
      </c>
      <c r="L28" s="92">
        <f>IF(B28&gt;0,'INPUT FIELDS'!L41," ")</f>
        <v>15853</v>
      </c>
      <c r="M28" s="92">
        <f>IF(B28&gt;0,'INPUT FIELDS'!M41," ")</f>
        <v>9753.9</v>
      </c>
      <c r="N28" s="92">
        <f>IF(B28&gt;0,'INPUT FIELDS'!N41," ")</f>
        <v>3714.69</v>
      </c>
      <c r="O28" s="93">
        <f>IF(B28&gt;0,IF(V28="NEW",'INPUT FIELDS'!O41,Q28)," ")</f>
        <v>0.35</v>
      </c>
      <c r="P28" s="92">
        <f>IF(B28&gt;0,IF(V28="NEW",'INPUT FIELDS'!P41,R28)," ")</f>
        <v>5548.5499999999993</v>
      </c>
      <c r="Q28" s="328">
        <f>IF(L28&lt;10000,20%,IF(L28&lt;13000,30%,IF(L28&lt;38000,35%,40%)))</f>
        <v>0.35</v>
      </c>
      <c r="R28" s="329">
        <f>Q28*L28</f>
        <v>5548.5499999999993</v>
      </c>
      <c r="S28" s="92">
        <f>IF(B28&gt;0,'INPUT FIELDS'!Q41," ")</f>
        <v>5546.9382142358918</v>
      </c>
      <c r="T28" s="92">
        <f>IF(B28&gt;0,'INPUT FIELDS'!R41," ")</f>
        <v>11586.148214235891</v>
      </c>
      <c r="U28" s="92">
        <f>IF(B28&gt;0,'INPUT FIELDS'!S41," ")</f>
        <v>4266.8517857641091</v>
      </c>
      <c r="V28" s="92" t="str">
        <f>IF(B28&gt;0,'INPUT FIELDS'!T41," ")</f>
        <v>RENEWAL</v>
      </c>
      <c r="W28" s="92">
        <f>L28-M28+N28</f>
        <v>9813.7900000000009</v>
      </c>
      <c r="X28" s="92">
        <f>W28-4000</f>
        <v>5813.7900000000009</v>
      </c>
      <c r="Y28" s="92">
        <f>IF(P28&lt;X28,P28,X28)</f>
        <v>5548.5499999999993</v>
      </c>
      <c r="Z28" s="92">
        <f>IF(B28&gt;0,-PV(AB28/12,AC28,Y28),"")</f>
        <v>196457.06837030494</v>
      </c>
      <c r="AA28" s="285">
        <v>196400</v>
      </c>
      <c r="AB28" s="108">
        <f>IF(B28&gt;0,'INPUT FIELDS'!W41," ")</f>
        <v>0.15810000000000002</v>
      </c>
      <c r="AC28" s="286">
        <v>48</v>
      </c>
      <c r="AD28" s="12"/>
      <c r="AE28" s="120" t="str">
        <f>IF(AA28&gt;0,IF(P28&lt;S28,"CHK IGIR","GO")," ")</f>
        <v>GO</v>
      </c>
      <c r="AF28" s="121" t="str">
        <f>IF(AA28&gt;0,IF(U28&lt;4000," NTHP BELOW 4K","GO")," ")</f>
        <v>GO</v>
      </c>
      <c r="AG28" s="39"/>
      <c r="AH28" s="25"/>
      <c r="AI28" s="25"/>
      <c r="AJ28" s="25"/>
      <c r="AK28" s="2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</row>
    <row r="29" spans="1:61" s="11" customFormat="1" ht="15.75" customHeight="1" thickBot="1">
      <c r="A29" s="15"/>
      <c r="B29" s="20"/>
      <c r="C29" s="20"/>
      <c r="D29" s="15"/>
      <c r="E29" s="40"/>
      <c r="F29" s="79" t="str">
        <f>IF('INPUT FIELDS'!AZ16&gt;0,'INPUT FIELDS'!AZ16,"")</f>
        <v>PROVINCIAL WARDENS OFFICE</v>
      </c>
      <c r="G29" s="80" t="str">
        <f>IF(E29&gt;0,'INPUT FIELDS'!G42," ")</f>
        <v xml:space="preserve"> </v>
      </c>
      <c r="H29" s="80" t="str">
        <f>IF(E29&gt;0,'INPUT FIELDS'!H42," ")</f>
        <v xml:space="preserve"> </v>
      </c>
      <c r="I29" s="80" t="str">
        <f>IF(E29&gt;0,'INPUT FIELDS'!I42," ")</f>
        <v xml:space="preserve"> </v>
      </c>
      <c r="J29" s="92" t="str">
        <f>IF(E29&gt;0,'INPUT FIELDS'!J42," ")</f>
        <v xml:space="preserve"> </v>
      </c>
      <c r="K29" s="92" t="str">
        <f>IF(E29&gt;0,'INPUT FIELDS'!K42," ")</f>
        <v xml:space="preserve"> </v>
      </c>
      <c r="L29" s="92" t="str">
        <f>IF(E29&gt;0,'INPUT FIELDS'!L42," ")</f>
        <v xml:space="preserve"> </v>
      </c>
      <c r="M29" s="92" t="str">
        <f>IF(E29&gt;0,'INPUT FIELDS'!M42," ")</f>
        <v xml:space="preserve"> </v>
      </c>
      <c r="N29" s="92" t="str">
        <f>IF(E29&gt;0,'INPUT FIELDS'!N42," ")</f>
        <v xml:space="preserve"> </v>
      </c>
      <c r="O29" s="93" t="str">
        <f>IF(E29&gt;0,'INPUT FIELDS'!O42," ")</f>
        <v xml:space="preserve"> </v>
      </c>
      <c r="P29" s="92" t="str">
        <f>IF(E29&gt;0,'INPUT FIELDS'!P42," ")</f>
        <v xml:space="preserve"> </v>
      </c>
      <c r="Q29" s="329"/>
      <c r="R29" s="329"/>
      <c r="S29" s="92" t="str">
        <f>IF(E29&gt;0,'INPUT FIELDS'!Q42," ")</f>
        <v xml:space="preserve"> </v>
      </c>
      <c r="T29" s="92" t="str">
        <f>IF(E29&gt;0,'INPUT FIELDS'!R42," ")</f>
        <v xml:space="preserve"> </v>
      </c>
      <c r="U29" s="92" t="str">
        <f>IF(E29&gt;0,'INPUT FIELDS'!S42," ")</f>
        <v xml:space="preserve"> </v>
      </c>
      <c r="V29" s="92" t="str">
        <f>IF(E29&gt;0,'INPUT FIELDS'!T42," ")</f>
        <v xml:space="preserve"> </v>
      </c>
      <c r="W29" s="92"/>
      <c r="X29" s="92"/>
      <c r="Y29" s="92"/>
      <c r="Z29" s="92" t="str">
        <f>IF(E29&gt;0,'INPUT FIELDS'!U42," ")</f>
        <v xml:space="preserve"> </v>
      </c>
      <c r="AA29" s="285"/>
      <c r="AB29" s="287"/>
      <c r="AC29" s="286"/>
      <c r="AD29" s="12"/>
      <c r="AE29" s="122"/>
      <c r="AF29" s="119"/>
      <c r="AG29" s="39"/>
      <c r="AH29" s="25"/>
      <c r="AI29" s="25"/>
      <c r="AJ29" s="25"/>
      <c r="AK29" s="2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</row>
    <row r="30" spans="1:61" s="11" customFormat="1" ht="15.75" customHeight="1" thickBot="1">
      <c r="A30" s="15"/>
      <c r="B30" s="20">
        <f>'INPUT FIELDS'!E43</f>
        <v>20219</v>
      </c>
      <c r="C30" s="20">
        <f>'INPUT FIELDS'!F43</f>
        <v>31048</v>
      </c>
      <c r="D30" s="15"/>
      <c r="E30" s="40">
        <f>IF(B30&gt;0,4," ")</f>
        <v>4</v>
      </c>
      <c r="F30" s="294" t="str">
        <f>IF(B30&gt;0,'INPUT FIELDS'!D43," ")</f>
        <v>LIMA, NESTOR PELENO</v>
      </c>
      <c r="G30" s="80">
        <f ca="1">IF(B30&gt;0,'INPUT FIELDS'!G43," ")</f>
        <v>70</v>
      </c>
      <c r="H30" s="80">
        <f ca="1">IF(B30&gt;0,'INPUT FIELDS'!H43," ")</f>
        <v>41</v>
      </c>
      <c r="I30" s="91" t="str">
        <f>IF(B30&gt;0,'INPUT FIELDS'!I43," ")</f>
        <v>PRISON GUARD I</v>
      </c>
      <c r="J30" s="92">
        <f>IF(B30&gt;0,'INPUT FIELDS'!J43," ")</f>
        <v>12886</v>
      </c>
      <c r="K30" s="92">
        <f>IF(B30&gt;0,'INPUT FIELDS'!K43," ")</f>
        <v>2000</v>
      </c>
      <c r="L30" s="92">
        <f>IF(B30&gt;0,'INPUT FIELDS'!L43," ")</f>
        <v>14886</v>
      </c>
      <c r="M30" s="92">
        <f>IF(B30&gt;0,'INPUT FIELDS'!M43," ")</f>
        <v>10386</v>
      </c>
      <c r="N30" s="92">
        <f>IF(B30&gt;0,'INPUT FIELDS'!N43," ")</f>
        <v>3453.19</v>
      </c>
      <c r="O30" s="93">
        <f>IF(B30&gt;0,IF(V30="NEW",'INPUT FIELDS'!O43,Q30)," ")</f>
        <v>0.35</v>
      </c>
      <c r="P30" s="92">
        <f>IF(B30&gt;0,IF(V30="NEW",'INPUT FIELDS'!P43,R30)," ")</f>
        <v>5210.0999999999995</v>
      </c>
      <c r="Q30" s="328">
        <f>IF(L30&lt;10000,20%,IF(L30&lt;13000,30%,IF(L30&lt;38000,35%,40%)))</f>
        <v>0.35</v>
      </c>
      <c r="R30" s="329">
        <f>Q30*L30</f>
        <v>5210.0999999999995</v>
      </c>
      <c r="S30" s="92">
        <f>IF(B30&gt;0,'INPUT FIELDS'!Q43," ")</f>
        <v>3939.9077438182635</v>
      </c>
      <c r="T30" s="92">
        <f>IF(B30&gt;0,'INPUT FIELDS'!R43," ")</f>
        <v>10872.717743818263</v>
      </c>
      <c r="U30" s="92">
        <f>IF(B30&gt;0,'INPUT FIELDS'!S43," ")</f>
        <v>4013.2822561817375</v>
      </c>
      <c r="V30" s="92" t="str">
        <f>IF(B30&gt;0,'INPUT FIELDS'!T43," ")</f>
        <v>RENEWAL</v>
      </c>
      <c r="W30" s="92">
        <f>L30-M30+N30</f>
        <v>7953.1900000000005</v>
      </c>
      <c r="X30" s="92">
        <f>W30-4000</f>
        <v>3953.1900000000005</v>
      </c>
      <c r="Y30" s="92">
        <f>IF(P30&lt;X30,P30,X30)</f>
        <v>3953.1900000000005</v>
      </c>
      <c r="Z30" s="92">
        <f>IF(B30&gt;0,-PV(AB30/12,AC30,Y30),"")</f>
        <v>139970.28378780151</v>
      </c>
      <c r="AA30" s="285">
        <v>139500</v>
      </c>
      <c r="AB30" s="108">
        <f>IF(B30&gt;0,'INPUT FIELDS'!W43," ")</f>
        <v>0.15810000000000002</v>
      </c>
      <c r="AC30" s="286">
        <v>48</v>
      </c>
      <c r="AD30" s="12"/>
      <c r="AE30" s="120" t="str">
        <f>IF(AA30&gt;0,IF(P30&lt;S30,"CHK IGIR","GO")," ")</f>
        <v>GO</v>
      </c>
      <c r="AF30" s="121" t="str">
        <f>IF(AA30&gt;0,IF(U30&lt;4000," NTHP BELOW 4K","GO")," ")</f>
        <v>GO</v>
      </c>
      <c r="AG30" s="39"/>
      <c r="AH30" s="25"/>
      <c r="AI30" s="25"/>
      <c r="AJ30" s="25"/>
      <c r="AK30" s="2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</row>
    <row r="31" spans="1:61" s="11" customFormat="1" ht="15.75" customHeight="1" thickBot="1">
      <c r="A31" s="15"/>
      <c r="B31" s="20"/>
      <c r="C31" s="20"/>
      <c r="D31" s="15"/>
      <c r="E31" s="40"/>
      <c r="F31" s="79" t="str">
        <f>IF('INPUT FIELDS'!BB16&gt;0,'INPUT FIELDS'!BB16,"")</f>
        <v>PROVINCIAL WARDENS OFFICE</v>
      </c>
      <c r="G31" s="80" t="str">
        <f>IF(E31&gt;0,'INPUT FIELDS'!G44," ")</f>
        <v xml:space="preserve"> </v>
      </c>
      <c r="H31" s="80" t="str">
        <f>IF(E31&gt;0,'INPUT FIELDS'!H44," ")</f>
        <v xml:space="preserve"> </v>
      </c>
      <c r="I31" s="80" t="str">
        <f>IF(E31&gt;0,'INPUT FIELDS'!I44," ")</f>
        <v xml:space="preserve"> </v>
      </c>
      <c r="J31" s="92" t="str">
        <f>IF(E31&gt;0,'INPUT FIELDS'!J44," ")</f>
        <v xml:space="preserve"> </v>
      </c>
      <c r="K31" s="92" t="str">
        <f>IF(E31&gt;0,'INPUT FIELDS'!K44," ")</f>
        <v xml:space="preserve"> </v>
      </c>
      <c r="L31" s="92" t="str">
        <f>IF(E31&gt;0,'INPUT FIELDS'!L44," ")</f>
        <v xml:space="preserve"> </v>
      </c>
      <c r="M31" s="92" t="str">
        <f>IF(E31&gt;0,'INPUT FIELDS'!M44," ")</f>
        <v xml:space="preserve"> </v>
      </c>
      <c r="N31" s="92" t="str">
        <f>IF(E31&gt;0,'INPUT FIELDS'!N44," ")</f>
        <v xml:space="preserve"> </v>
      </c>
      <c r="O31" s="93" t="str">
        <f>IF(E31&gt;0,'INPUT FIELDS'!O44," ")</f>
        <v xml:space="preserve"> </v>
      </c>
      <c r="P31" s="92" t="str">
        <f>IF(E31&gt;0,'INPUT FIELDS'!P44," ")</f>
        <v xml:space="preserve"> </v>
      </c>
      <c r="Q31" s="329"/>
      <c r="R31" s="329"/>
      <c r="S31" s="92" t="str">
        <f>IF(E31&gt;0,'INPUT FIELDS'!Q44," ")</f>
        <v xml:space="preserve"> </v>
      </c>
      <c r="T31" s="92" t="str">
        <f>IF(E31&gt;0,'INPUT FIELDS'!R44," ")</f>
        <v xml:space="preserve"> </v>
      </c>
      <c r="U31" s="92" t="str">
        <f>IF(E31&gt;0,'INPUT FIELDS'!S44," ")</f>
        <v xml:space="preserve"> </v>
      </c>
      <c r="V31" s="92" t="str">
        <f>IF(E31&gt;0,'INPUT FIELDS'!T44," ")</f>
        <v xml:space="preserve"> </v>
      </c>
      <c r="W31" s="92"/>
      <c r="X31" s="92"/>
      <c r="Y31" s="92"/>
      <c r="Z31" s="92" t="str">
        <f>IF(E31&gt;0,'INPUT FIELDS'!U44," ")</f>
        <v xml:space="preserve"> </v>
      </c>
      <c r="AA31" s="285"/>
      <c r="AB31" s="287"/>
      <c r="AC31" s="286"/>
      <c r="AD31" s="12"/>
      <c r="AE31" s="122"/>
      <c r="AF31" s="119"/>
      <c r="AG31" s="39"/>
      <c r="AH31" s="25"/>
      <c r="AI31" s="25"/>
      <c r="AJ31" s="25"/>
      <c r="AK31" s="2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</row>
    <row r="32" spans="1:61" s="11" customFormat="1" ht="15.75" customHeight="1" thickBot="1">
      <c r="A32" s="15"/>
      <c r="B32" s="20">
        <f>'INPUT FIELDS'!E45</f>
        <v>26900</v>
      </c>
      <c r="C32" s="20">
        <f>'INPUT FIELDS'!F45</f>
        <v>36297</v>
      </c>
      <c r="D32" s="15"/>
      <c r="E32" s="40">
        <f>IF(B32&gt;0,5," ")</f>
        <v>5</v>
      </c>
      <c r="F32" s="294" t="str">
        <f>IF(B32&gt;0,'INPUT FIELDS'!D45," ")</f>
        <v>ALEGRIA, MARCIANO JR HERNANDEZ</v>
      </c>
      <c r="G32" s="80">
        <f ca="1">IF(B32&gt;0,'INPUT FIELDS'!G45," ")</f>
        <v>52</v>
      </c>
      <c r="H32" s="80">
        <f ca="1">IF(B32&gt;0,'INPUT FIELDS'!H45," ")</f>
        <v>26</v>
      </c>
      <c r="I32" s="91" t="str">
        <f>IF(B32&gt;0,'INPUT FIELDS'!I45," ")</f>
        <v>ADMIN AIDE III</v>
      </c>
      <c r="J32" s="92">
        <f>IF(B32&gt;0,'INPUT FIELDS'!J45," ")</f>
        <v>10931</v>
      </c>
      <c r="K32" s="92">
        <f>IF(B32&gt;0,'INPUT FIELDS'!K45," ")</f>
        <v>2000</v>
      </c>
      <c r="L32" s="92">
        <f>IF(B32&gt;0,'INPUT FIELDS'!L45," ")</f>
        <v>12931</v>
      </c>
      <c r="M32" s="92">
        <f>IF(B32&gt;0,'INPUT FIELDS'!M45," ")</f>
        <v>7761</v>
      </c>
      <c r="N32" s="92">
        <f>IF(B32&gt;0,'INPUT FIELDS'!N45," ")</f>
        <v>2999.23</v>
      </c>
      <c r="O32" s="93">
        <f>IF(B32&gt;0,IF(V32="NEW",'INPUT FIELDS'!O45,Q32)," ")</f>
        <v>0.3</v>
      </c>
      <c r="P32" s="92">
        <f>IF(B32&gt;0,IF(V32="NEW",'INPUT FIELDS'!P45,R32)," ")</f>
        <v>3879.2999999999997</v>
      </c>
      <c r="Q32" s="328">
        <f>IF(L32&lt;10000,20%,IF(L32&lt;13000,30%,IF(L32&lt;38000,35%,40%)))</f>
        <v>0.3</v>
      </c>
      <c r="R32" s="329">
        <f>Q32*L32</f>
        <v>3879.2999999999997</v>
      </c>
      <c r="S32" s="92">
        <f>IF(B32&gt;0,'INPUT FIELDS'!Q45," ")</f>
        <v>3879.1851513508141</v>
      </c>
      <c r="T32" s="92">
        <f>IF(B32&gt;0,'INPUT FIELDS'!R45," ")</f>
        <v>8640.955151350814</v>
      </c>
      <c r="U32" s="92">
        <f>IF(B32&gt;0,'INPUT FIELDS'!S45," ")</f>
        <v>4290.044848649186</v>
      </c>
      <c r="V32" s="92" t="str">
        <f>IF(B32&gt;0,'INPUT FIELDS'!T45," ")</f>
        <v>RENEWAL</v>
      </c>
      <c r="W32" s="92">
        <f>L32-M32+N32</f>
        <v>8169.23</v>
      </c>
      <c r="X32" s="92">
        <f>W32-4000</f>
        <v>4169.2299999999996</v>
      </c>
      <c r="Y32" s="92">
        <f>IF(P32&lt;X32,P32,X32)</f>
        <v>3879.2999999999997</v>
      </c>
      <c r="Z32" s="92">
        <f>IF(B32&gt;0,-PV(AB32/12,AC32,Y32),"")</f>
        <v>137354.06643698335</v>
      </c>
      <c r="AA32" s="285">
        <v>137350</v>
      </c>
      <c r="AB32" s="108">
        <f>IF(B32&gt;0,'INPUT FIELDS'!W45," ")</f>
        <v>0.15810000000000002</v>
      </c>
      <c r="AC32" s="286">
        <v>48</v>
      </c>
      <c r="AD32" s="12"/>
      <c r="AE32" s="120" t="str">
        <f>IF(AA32&gt;0,IF(P32&lt;S32,"CHK IGIR","GO")," ")</f>
        <v>GO</v>
      </c>
      <c r="AF32" s="121" t="str">
        <f>IF(AA32&gt;0,IF(U32&lt;4000," NTHP BELOW 4K","GO")," ")</f>
        <v>GO</v>
      </c>
      <c r="AG32" s="39"/>
      <c r="AH32" s="25"/>
      <c r="AI32" s="25"/>
      <c r="AJ32" s="25"/>
      <c r="AK32" s="2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</row>
    <row r="33" spans="1:61" s="11" customFormat="1" ht="15.75" customHeight="1" thickBot="1">
      <c r="A33" s="15"/>
      <c r="B33" s="20"/>
      <c r="C33" s="20"/>
      <c r="D33" s="15"/>
      <c r="E33" s="40"/>
      <c r="F33" s="79" t="str">
        <f>IF('INPUT FIELDS'!BD16&gt;0,'INPUT FIELDS'!BD16,"")</f>
        <v>PROVINCIAL HEALTH OFFICE</v>
      </c>
      <c r="G33" s="80" t="str">
        <f>IF(E33&gt;0,'INPUT FIELDS'!G46," ")</f>
        <v xml:space="preserve"> </v>
      </c>
      <c r="H33" s="80" t="str">
        <f>IF(E33&gt;0,'INPUT FIELDS'!H46," ")</f>
        <v xml:space="preserve"> </v>
      </c>
      <c r="I33" s="80" t="str">
        <f>IF(E33&gt;0,'INPUT FIELDS'!I46," ")</f>
        <v xml:space="preserve"> </v>
      </c>
      <c r="J33" s="92" t="str">
        <f>IF(E33&gt;0,'INPUT FIELDS'!J46," ")</f>
        <v xml:space="preserve"> </v>
      </c>
      <c r="K33" s="92" t="str">
        <f>IF(E33&gt;0,'INPUT FIELDS'!K46," ")</f>
        <v xml:space="preserve"> </v>
      </c>
      <c r="L33" s="92" t="str">
        <f>IF(E33&gt;0,'INPUT FIELDS'!L46," ")</f>
        <v xml:space="preserve"> </v>
      </c>
      <c r="M33" s="92" t="str">
        <f>IF(E33&gt;0,'INPUT FIELDS'!M46," ")</f>
        <v xml:space="preserve"> </v>
      </c>
      <c r="N33" s="92" t="str">
        <f>IF(E33&gt;0,'INPUT FIELDS'!N46," ")</f>
        <v xml:space="preserve"> </v>
      </c>
      <c r="O33" s="93" t="str">
        <f>IF(E33&gt;0,'INPUT FIELDS'!O46," ")</f>
        <v xml:space="preserve"> </v>
      </c>
      <c r="P33" s="92" t="str">
        <f>IF(E33&gt;0,'INPUT FIELDS'!P46," ")</f>
        <v xml:space="preserve"> </v>
      </c>
      <c r="Q33" s="329"/>
      <c r="R33" s="329"/>
      <c r="S33" s="92" t="str">
        <f>IF(E33&gt;0,'INPUT FIELDS'!Q46," ")</f>
        <v xml:space="preserve"> </v>
      </c>
      <c r="T33" s="92" t="str">
        <f>IF(E33&gt;0,'INPUT FIELDS'!R46," ")</f>
        <v xml:space="preserve"> </v>
      </c>
      <c r="U33" s="92" t="str">
        <f>IF(E33&gt;0,'INPUT FIELDS'!S46," ")</f>
        <v xml:space="preserve"> </v>
      </c>
      <c r="V33" s="92" t="str">
        <f>IF(E33&gt;0,'INPUT FIELDS'!T46," ")</f>
        <v xml:space="preserve"> </v>
      </c>
      <c r="W33" s="92"/>
      <c r="X33" s="92"/>
      <c r="Y33" s="92"/>
      <c r="Z33" s="92" t="str">
        <f>IF(E33&gt;0,'INPUT FIELDS'!U46," ")</f>
        <v xml:space="preserve"> </v>
      </c>
      <c r="AA33" s="285"/>
      <c r="AB33" s="287"/>
      <c r="AC33" s="286"/>
      <c r="AD33" s="12"/>
      <c r="AE33" s="122"/>
      <c r="AF33" s="119"/>
      <c r="AG33" s="39"/>
      <c r="AH33" s="25"/>
      <c r="AI33" s="25"/>
      <c r="AJ33" s="25"/>
      <c r="AK33" s="2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</row>
    <row r="34" spans="1:61" s="11" customFormat="1" ht="15.75" customHeight="1" thickBot="1">
      <c r="A34" s="15"/>
      <c r="B34" s="20">
        <f>'INPUT FIELDS'!E47</f>
        <v>28260</v>
      </c>
      <c r="C34" s="20">
        <f>'INPUT FIELDS'!F47</f>
        <v>40252</v>
      </c>
      <c r="D34" s="15"/>
      <c r="E34" s="40">
        <f>IF(B34&gt;0,6," ")</f>
        <v>6</v>
      </c>
      <c r="F34" s="294" t="str">
        <f>IF(B34&gt;0,'INPUT FIELDS'!D47," ")</f>
        <v>GACELOS, MANOLITO ABARRACOSO</v>
      </c>
      <c r="G34" s="80">
        <f ca="1">IF(B34&gt;0,'INPUT FIELDS'!G47," ")</f>
        <v>48</v>
      </c>
      <c r="H34" s="80">
        <f ca="1">IF(B34&gt;0,'INPUT FIELDS'!H47," ")</f>
        <v>15</v>
      </c>
      <c r="I34" s="91" t="str">
        <f>IF(B34&gt;0,'INPUT FIELDS'!I47," ")</f>
        <v>DRIVER I</v>
      </c>
      <c r="J34" s="92">
        <f>IF(B34&gt;0,'INPUT FIELDS'!J47," ")</f>
        <v>10505</v>
      </c>
      <c r="K34" s="92">
        <f>IF(B34&gt;0,'INPUT FIELDS'!K47," ")</f>
        <v>3650</v>
      </c>
      <c r="L34" s="92">
        <f>IF(B34&gt;0,'INPUT FIELDS'!L47," ")</f>
        <v>14155</v>
      </c>
      <c r="M34" s="92">
        <f>IF(B34&gt;0,'INPUT FIELDS'!M47," ")</f>
        <v>2357.9899999999998</v>
      </c>
      <c r="N34" s="92">
        <f>IF(B34&gt;0,'INPUT FIELDS'!N47," ")</f>
        <v>0</v>
      </c>
      <c r="O34" s="93">
        <f>IF(B34&gt;0,IF(V34="NEW",'INPUT FIELDS'!O47,Q34)," ")</f>
        <v>0.3</v>
      </c>
      <c r="P34" s="92">
        <f>IF(B34&gt;0,IF(V34="NEW",'INPUT FIELDS'!P47,R34)," ")</f>
        <v>4246.5</v>
      </c>
      <c r="Q34" s="328">
        <f>IF(L34&lt;10000,20%,IF(L34&lt;13000,30%,IF(L34&lt;38000,35%,40%)))</f>
        <v>0.35</v>
      </c>
      <c r="R34" s="329">
        <f>Q34*L34</f>
        <v>4954.25</v>
      </c>
      <c r="S34" s="92">
        <f>IF(B34&gt;0,'INPUT FIELDS'!Q47," ")</f>
        <v>4244.9328594687095</v>
      </c>
      <c r="T34" s="92">
        <f>IF(B34&gt;0,'INPUT FIELDS'!R47," ")</f>
        <v>6602.9228594687092</v>
      </c>
      <c r="U34" s="92">
        <f>IF(B34&gt;0,'INPUT FIELDS'!S47," ")</f>
        <v>7552.0771405312908</v>
      </c>
      <c r="V34" s="92" t="str">
        <f>IF(B34&gt;0,'INPUT FIELDS'!T47," ")</f>
        <v>NEW</v>
      </c>
      <c r="W34" s="92">
        <f>L34-M34+N34</f>
        <v>11797.01</v>
      </c>
      <c r="X34" s="92">
        <f>W34-4000</f>
        <v>7797.01</v>
      </c>
      <c r="Y34" s="92">
        <f>IF(P34&lt;X34,P34,X34)</f>
        <v>4246.5</v>
      </c>
      <c r="Z34" s="92">
        <f>IF(B34&gt;0,-PV(AB34/12,AC34,Y34),"")</f>
        <v>150355.48762009895</v>
      </c>
      <c r="AA34" s="285">
        <v>150300</v>
      </c>
      <c r="AB34" s="108">
        <f>IF(B34&gt;0,'INPUT FIELDS'!W47," ")</f>
        <v>0.15810000000000002</v>
      </c>
      <c r="AC34" s="286">
        <v>48</v>
      </c>
      <c r="AD34" s="12"/>
      <c r="AE34" s="120" t="str">
        <f>IF(AA34&gt;0,IF(P34&lt;S34,"CHK IGIR","GO")," ")</f>
        <v>GO</v>
      </c>
      <c r="AF34" s="121" t="str">
        <f>IF(AA34&gt;0,IF(U34&lt;4000," NTHP BELOW 4K","GO")," ")</f>
        <v>GO</v>
      </c>
      <c r="AG34" s="39"/>
      <c r="AH34" s="25"/>
      <c r="AI34" s="25"/>
      <c r="AJ34" s="25"/>
      <c r="AK34" s="2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</row>
    <row r="35" spans="1:61" s="11" customFormat="1" ht="15.75" customHeight="1" thickBot="1">
      <c r="A35" s="15"/>
      <c r="B35" s="20"/>
      <c r="C35" s="20"/>
      <c r="D35" s="15"/>
      <c r="E35" s="40"/>
      <c r="F35" s="79" t="str">
        <f>IF('INPUT FIELDS'!BF16&gt;0,'INPUT FIELDS'!BF16,"")</f>
        <v/>
      </c>
      <c r="G35" s="80" t="str">
        <f>IF(E35&gt;0,'INPUT FIELDS'!G48," ")</f>
        <v xml:space="preserve"> </v>
      </c>
      <c r="H35" s="80" t="str">
        <f>IF(E35&gt;0,'INPUT FIELDS'!H48," ")</f>
        <v xml:space="preserve"> </v>
      </c>
      <c r="I35" s="80" t="str">
        <f>IF(E35&gt;0,'INPUT FIELDS'!I48," ")</f>
        <v xml:space="preserve"> </v>
      </c>
      <c r="J35" s="92" t="str">
        <f>IF(E35&gt;0,'INPUT FIELDS'!J48," ")</f>
        <v xml:space="preserve"> </v>
      </c>
      <c r="K35" s="92" t="str">
        <f>IF(E35&gt;0,'INPUT FIELDS'!K48," ")</f>
        <v xml:space="preserve"> </v>
      </c>
      <c r="L35" s="92" t="str">
        <f>IF(E35&gt;0,'INPUT FIELDS'!L48," ")</f>
        <v xml:space="preserve"> </v>
      </c>
      <c r="M35" s="92" t="str">
        <f>IF(E35&gt;0,'INPUT FIELDS'!M48," ")</f>
        <v xml:space="preserve"> </v>
      </c>
      <c r="N35" s="92" t="str">
        <f>IF(E35&gt;0,'INPUT FIELDS'!N48," ")</f>
        <v xml:space="preserve"> </v>
      </c>
      <c r="O35" s="93" t="str">
        <f>IF(E35&gt;0,'INPUT FIELDS'!O48," ")</f>
        <v xml:space="preserve"> </v>
      </c>
      <c r="P35" s="92" t="str">
        <f>IF(E35&gt;0,'INPUT FIELDS'!P48," ")</f>
        <v xml:space="preserve"> </v>
      </c>
      <c r="Q35" s="329"/>
      <c r="R35" s="329"/>
      <c r="S35" s="92" t="str">
        <f>IF(E35&gt;0,'INPUT FIELDS'!Q48," ")</f>
        <v xml:space="preserve"> </v>
      </c>
      <c r="T35" s="92" t="str">
        <f>IF(E35&gt;0,'INPUT FIELDS'!R48," ")</f>
        <v xml:space="preserve"> </v>
      </c>
      <c r="U35" s="92" t="str">
        <f>IF(E35&gt;0,'INPUT FIELDS'!S48," ")</f>
        <v xml:space="preserve"> </v>
      </c>
      <c r="V35" s="92" t="str">
        <f>IF(E35&gt;0,'INPUT FIELDS'!T48," ")</f>
        <v xml:space="preserve"> </v>
      </c>
      <c r="W35" s="92"/>
      <c r="X35" s="92"/>
      <c r="Y35" s="92"/>
      <c r="Z35" s="92" t="str">
        <f>IF(E35&gt;0,'INPUT FIELDS'!U48," ")</f>
        <v xml:space="preserve"> </v>
      </c>
      <c r="AA35" s="285"/>
      <c r="AB35" s="287"/>
      <c r="AC35" s="286"/>
      <c r="AD35" s="12"/>
      <c r="AE35" s="122"/>
      <c r="AF35" s="119"/>
      <c r="AG35" s="39"/>
      <c r="AH35" s="25"/>
      <c r="AI35" s="25"/>
      <c r="AJ35" s="25"/>
      <c r="AK35" s="2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</row>
    <row r="36" spans="1:61" s="11" customFormat="1" ht="15.75" customHeight="1" thickBot="1">
      <c r="A36" s="15"/>
      <c r="B36" s="20">
        <f>'INPUT FIELDS'!E49</f>
        <v>20852</v>
      </c>
      <c r="C36" s="20">
        <f>'INPUT FIELDS'!F49</f>
        <v>30376</v>
      </c>
      <c r="D36" s="15"/>
      <c r="E36" s="40">
        <f>IF(B36&gt;0,7," ")</f>
        <v>7</v>
      </c>
      <c r="F36" s="294" t="str">
        <f>IF(B36&gt;0,'INPUT FIELDS'!D49," ")</f>
        <v>GONZALES, LEONILA HILONGO</v>
      </c>
      <c r="G36" s="80">
        <f ca="1">IF(B36&gt;0,'INPUT FIELDS'!G49," ")</f>
        <v>69</v>
      </c>
      <c r="H36" s="80">
        <f ca="1">IF(B36&gt;0,'INPUT FIELDS'!H49," ")</f>
        <v>43</v>
      </c>
      <c r="I36" s="91" t="str">
        <f>IF(B36&gt;0,'INPUT FIELDS'!I49," ")</f>
        <v>DENTIST II</v>
      </c>
      <c r="J36" s="92">
        <f>IF(B36&gt;0,'INPUT FIELDS'!J49," ")</f>
        <v>31339</v>
      </c>
      <c r="K36" s="92">
        <f>IF(B36&gt;0,'INPUT FIELDS'!K49," ")</f>
        <v>3650</v>
      </c>
      <c r="L36" s="92">
        <f>IF(B36&gt;0,'INPUT FIELDS'!L49," ")</f>
        <v>34989</v>
      </c>
      <c r="M36" s="92">
        <f>IF(B36&gt;0,'INPUT FIELDS'!M49," ")</f>
        <v>21547.08</v>
      </c>
      <c r="N36" s="92">
        <f>IF(B36&gt;0,'INPUT FIELDS'!N49," ")</f>
        <v>8404.99</v>
      </c>
      <c r="O36" s="93">
        <f>IF(B36&gt;0,IF(V36="NEW",'INPUT FIELDS'!O49,Q36)," ")</f>
        <v>0.35</v>
      </c>
      <c r="P36" s="92">
        <f>IF(B36&gt;0,IF(V36="NEW",'INPUT FIELDS'!P49,R36)," ")</f>
        <v>12246.15</v>
      </c>
      <c r="Q36" s="328">
        <f>IF(L36&lt;10000,20%,IF(L36&lt;13000,30%,IF(L36&lt;38000,35%,40%)))</f>
        <v>0.35</v>
      </c>
      <c r="R36" s="329">
        <f>Q36*L36</f>
        <v>12246.15</v>
      </c>
      <c r="S36" s="92">
        <f>IF(B36&gt;0,'INPUT FIELDS'!Q49," ")</f>
        <v>12243.369225413744</v>
      </c>
      <c r="T36" s="92">
        <f>IF(B36&gt;0,'INPUT FIELDS'!R49," ")</f>
        <v>25385.459225413746</v>
      </c>
      <c r="U36" s="92">
        <f>IF(B36&gt;0,'INPUT FIELDS'!S49," ")</f>
        <v>9603.540774586254</v>
      </c>
      <c r="V36" s="92" t="str">
        <f>IF(B36&gt;0,'INPUT FIELDS'!T49," ")</f>
        <v>RENEWAL</v>
      </c>
      <c r="W36" s="92">
        <f>L36-M36+N36</f>
        <v>21846.909999999996</v>
      </c>
      <c r="X36" s="92">
        <f>W36-4000</f>
        <v>17846.909999999996</v>
      </c>
      <c r="Y36" s="92">
        <f>IF(P36&lt;X36,P36,X36)</f>
        <v>12246.15</v>
      </c>
      <c r="Z36" s="92">
        <f>IF(B36&gt;0,-PV(AB36/12,AC36,Y36),"")</f>
        <v>433598.45866451779</v>
      </c>
      <c r="AA36" s="285">
        <v>433500</v>
      </c>
      <c r="AB36" s="108">
        <f>IF(B36&gt;0,'INPUT FIELDS'!W49," ")</f>
        <v>0.15810000000000002</v>
      </c>
      <c r="AC36" s="286">
        <v>48</v>
      </c>
      <c r="AD36" s="12"/>
      <c r="AE36" s="120" t="str">
        <f>IF(AA36&gt;0,IF(P36&lt;S36,"CHK IGIR","GO")," ")</f>
        <v>GO</v>
      </c>
      <c r="AF36" s="121" t="str">
        <f>IF(AA36&gt;0,IF(U36&lt;4000," NTHP BELOW 4K","GO")," ")</f>
        <v>GO</v>
      </c>
      <c r="AG36" s="39"/>
      <c r="AH36" s="25"/>
      <c r="AI36" s="25"/>
      <c r="AJ36" s="25"/>
      <c r="AK36" s="2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</row>
    <row r="37" spans="1:61" s="11" customFormat="1" ht="15.75" customHeight="1" thickBot="1">
      <c r="A37" s="15"/>
      <c r="B37" s="20"/>
      <c r="C37" s="20"/>
      <c r="D37" s="15"/>
      <c r="E37" s="40"/>
      <c r="F37" s="79" t="str">
        <f>IF('INPUT FIELDS'!BH16&gt;0,'INPUT FIELDS'!BH16,"")</f>
        <v/>
      </c>
      <c r="G37" s="80"/>
      <c r="H37" s="80"/>
      <c r="I37" s="288"/>
      <c r="J37" s="289"/>
      <c r="K37" s="289"/>
      <c r="L37" s="290"/>
      <c r="M37" s="289"/>
      <c r="N37" s="289"/>
      <c r="O37" s="291"/>
      <c r="P37" s="292"/>
      <c r="Q37" s="330"/>
      <c r="R37" s="330"/>
      <c r="S37" s="82"/>
      <c r="T37" s="83"/>
      <c r="U37" s="293"/>
      <c r="V37" s="90"/>
      <c r="W37" s="90"/>
      <c r="X37" s="90"/>
      <c r="Y37" s="90"/>
      <c r="Z37" s="290"/>
      <c r="AA37" s="285"/>
      <c r="AB37" s="287"/>
      <c r="AC37" s="286"/>
      <c r="AD37" s="12"/>
      <c r="AE37" s="122"/>
      <c r="AF37" s="119"/>
      <c r="AG37" s="39"/>
      <c r="AH37" s="25"/>
      <c r="AI37" s="25"/>
      <c r="AJ37" s="25"/>
      <c r="AK37" s="2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</row>
    <row r="38" spans="1:61" s="11" customFormat="1" ht="15.75" customHeight="1" thickBot="1">
      <c r="A38" s="15"/>
      <c r="B38" s="20">
        <f>'INPUT FIELDS'!E51</f>
        <v>24599</v>
      </c>
      <c r="C38" s="20">
        <f>'INPUT FIELDS'!F51</f>
        <v>39114</v>
      </c>
      <c r="D38" s="15"/>
      <c r="E38" s="40">
        <f>IF(B38&gt;0,8," ")</f>
        <v>8</v>
      </c>
      <c r="F38" s="294" t="str">
        <f>IF(B38&gt;0,'INPUT FIELDS'!D51," ")</f>
        <v>MAYOR, CHONA BRANZUELA</v>
      </c>
      <c r="G38" s="80">
        <f ca="1">IF(B38&gt;0,'INPUT FIELDS'!G51," ")</f>
        <v>58</v>
      </c>
      <c r="H38" s="80">
        <f ca="1">IF(B38&gt;0,'INPUT FIELDS'!H51," ")</f>
        <v>19</v>
      </c>
      <c r="I38" s="91" t="str">
        <f>IF(B38&gt;0,'INPUT FIELDS'!I51," ")</f>
        <v>DENTAL AIDE</v>
      </c>
      <c r="J38" s="92">
        <f>IF(B38&gt;0,'INPUT FIELDS'!J51," ")</f>
        <v>11405</v>
      </c>
      <c r="K38" s="92">
        <f>IF(B38&gt;0,'INPUT FIELDS'!K51," ")</f>
        <v>3650</v>
      </c>
      <c r="L38" s="92">
        <f>IF(B38&gt;0,'INPUT FIELDS'!L51," ")</f>
        <v>15055</v>
      </c>
      <c r="M38" s="92">
        <f>IF(B38&gt;0,'INPUT FIELDS'!M51," ")</f>
        <v>8448.6200000000008</v>
      </c>
      <c r="N38" s="92">
        <f>IF(B38&gt;0,'INPUT FIELDS'!N51," ")</f>
        <v>3057.58</v>
      </c>
      <c r="O38" s="93">
        <f>IF(B38&gt;0,IF(V38="NEW",'INPUT FIELDS'!O51,Q38)," ")</f>
        <v>0.35</v>
      </c>
      <c r="P38" s="92">
        <f>IF(B38&gt;0,IF(V38="NEW",'INPUT FIELDS'!P51,R38)," ")</f>
        <v>5269.25</v>
      </c>
      <c r="Q38" s="328">
        <f>IF(L38&lt;10000,20%,IF(L38&lt;13000,30%,IF(L38&lt;38000,35%,40%)))</f>
        <v>0.35</v>
      </c>
      <c r="R38" s="329">
        <f>Q38*L38</f>
        <v>5269.25</v>
      </c>
      <c r="S38" s="92">
        <f>IF(B38&gt;0,'INPUT FIELDS'!Q51," ")</f>
        <v>5267.3318582229831</v>
      </c>
      <c r="T38" s="92">
        <f>IF(B38&gt;0,'INPUT FIELDS'!R51," ")</f>
        <v>10658.371858222985</v>
      </c>
      <c r="U38" s="92">
        <f>IF(B38&gt;0,'INPUT FIELDS'!S51," ")</f>
        <v>4396.6281417770151</v>
      </c>
      <c r="V38" s="92" t="str">
        <f>IF(B38&gt;0,'INPUT FIELDS'!T51," ")</f>
        <v>RENEWAL</v>
      </c>
      <c r="W38" s="92">
        <f>L38-M38+N38</f>
        <v>9663.9599999999991</v>
      </c>
      <c r="X38" s="92">
        <f>W38-4000</f>
        <v>5663.9599999999991</v>
      </c>
      <c r="Y38" s="92">
        <f>IF(P38&lt;X38,P38,X38)</f>
        <v>5269.25</v>
      </c>
      <c r="Z38" s="92">
        <f>IF(B38&gt;0,-PV(AB38/12,AC38,Y38),"")</f>
        <v>186567.91549327833</v>
      </c>
      <c r="AA38" s="285">
        <v>186500</v>
      </c>
      <c r="AB38" s="108">
        <f>IF(B38&gt;0,'INPUT FIELDS'!W51," ")</f>
        <v>0.15810000000000002</v>
      </c>
      <c r="AC38" s="286">
        <v>48</v>
      </c>
      <c r="AD38" s="12"/>
      <c r="AE38" s="120" t="str">
        <f>IF(AA38&gt;0,IF(P38&lt;S38,"CHK IGIR","GO")," ")</f>
        <v>GO</v>
      </c>
      <c r="AF38" s="121" t="str">
        <f>IF(AA38&gt;0,IF(U38&lt;4000," NTHP BELOW 4K","GO")," ")</f>
        <v>GO</v>
      </c>
      <c r="AG38" s="39"/>
      <c r="AH38" s="25"/>
      <c r="AI38" s="25"/>
      <c r="AJ38" s="25"/>
      <c r="AK38" s="2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</row>
    <row r="39" spans="1:61" s="11" customFormat="1" ht="15.75" customHeight="1" thickBot="1">
      <c r="A39" s="15"/>
      <c r="B39" s="19"/>
      <c r="C39" s="19"/>
      <c r="D39" s="15"/>
      <c r="E39" s="40"/>
      <c r="F39" s="79" t="str">
        <f>IF('INPUT FIELDS'!BJ16&gt;0,'INPUT FIELDS'!BJ16,"")</f>
        <v/>
      </c>
      <c r="G39" s="80"/>
      <c r="H39" s="80"/>
      <c r="I39" s="288"/>
      <c r="J39" s="289"/>
      <c r="K39" s="289"/>
      <c r="L39" s="290"/>
      <c r="M39" s="289"/>
      <c r="N39" s="289"/>
      <c r="O39" s="291"/>
      <c r="P39" s="292"/>
      <c r="Q39" s="330"/>
      <c r="R39" s="330"/>
      <c r="S39" s="82"/>
      <c r="T39" s="83"/>
      <c r="U39" s="293"/>
      <c r="V39" s="90"/>
      <c r="W39" s="90"/>
      <c r="X39" s="90"/>
      <c r="Y39" s="90"/>
      <c r="Z39" s="290"/>
      <c r="AA39" s="285"/>
      <c r="AB39" s="287"/>
      <c r="AC39" s="286"/>
      <c r="AD39" s="12"/>
      <c r="AE39" s="122"/>
      <c r="AF39" s="119"/>
      <c r="AG39" s="39"/>
      <c r="AH39" s="25"/>
      <c r="AI39" s="25"/>
      <c r="AJ39" s="25"/>
      <c r="AK39" s="2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</row>
    <row r="40" spans="1:61" s="11" customFormat="1" ht="15.75" customHeight="1" thickBot="1">
      <c r="A40" s="15"/>
      <c r="B40" s="20">
        <f>'INPUT FIELDS'!E53</f>
        <v>25868</v>
      </c>
      <c r="C40" s="20">
        <f>'INPUT FIELDS'!F53</f>
        <v>35492</v>
      </c>
      <c r="D40" s="15"/>
      <c r="E40" s="40">
        <f>IF(B40&gt;0,9," ")</f>
        <v>9</v>
      </c>
      <c r="F40" s="294" t="str">
        <f>IF(B40&gt;0,'INPUT FIELDS'!D53," ")</f>
        <v>YBOA, JONAS ABELIDO</v>
      </c>
      <c r="G40" s="80">
        <f ca="1">IF(B40&gt;0,'INPUT FIELDS'!G53," ")</f>
        <v>55</v>
      </c>
      <c r="H40" s="80">
        <f ca="1">IF(B40&gt;0,'INPUT FIELDS'!H53," ")</f>
        <v>29</v>
      </c>
      <c r="I40" s="91" t="str">
        <f>IF(B40&gt;0,'INPUT FIELDS'!I53," ")</f>
        <v>ADMIN AIDE VI</v>
      </c>
      <c r="J40" s="92">
        <f>IF(B40&gt;0,'INPUT FIELDS'!J53," ")</f>
        <v>13580</v>
      </c>
      <c r="K40" s="92">
        <f>IF(B40&gt;0,'INPUT FIELDS'!K53," ")</f>
        <v>2000</v>
      </c>
      <c r="L40" s="92">
        <f>IF(B40&gt;0,'INPUT FIELDS'!L53," ")</f>
        <v>15580</v>
      </c>
      <c r="M40" s="92">
        <f>IF(B40&gt;0,'INPUT FIELDS'!M53," ")</f>
        <v>10473.620000000001</v>
      </c>
      <c r="N40" s="92">
        <f>IF(B40&gt;0,'INPUT FIELDS'!N53," ")</f>
        <v>3640.94</v>
      </c>
      <c r="O40" s="93">
        <f>IF(B40&gt;0,IF(V40="NEW",'INPUT FIELDS'!O53,Q40)," ")</f>
        <v>0.35</v>
      </c>
      <c r="P40" s="92">
        <f>IF(B40&gt;0,IF(V40="NEW",'INPUT FIELDS'!P53,R40)," ")</f>
        <v>5453</v>
      </c>
      <c r="Q40" s="328">
        <f>IF(L40&lt;10000,20%,IF(L40&lt;13000,30%,IF(L40&lt;38000,35%,40%)))</f>
        <v>0.35</v>
      </c>
      <c r="R40" s="329">
        <f>Q40*L40</f>
        <v>5453</v>
      </c>
      <c r="S40" s="92">
        <f>IF(B40&gt;0,'INPUT FIELDS'!Q53," ")</f>
        <v>4671.4031600540566</v>
      </c>
      <c r="T40" s="92">
        <f>IF(B40&gt;0,'INPUT FIELDS'!R53," ")</f>
        <v>11504.083160054057</v>
      </c>
      <c r="U40" s="92">
        <f>IF(B40&gt;0,'INPUT FIELDS'!S53," ")</f>
        <v>4075.9168399459431</v>
      </c>
      <c r="V40" s="92" t="str">
        <f>IF(B40&gt;0,'INPUT FIELDS'!T53," ")</f>
        <v>RENEWAL</v>
      </c>
      <c r="W40" s="92">
        <f>L40-M40+N40</f>
        <v>8747.32</v>
      </c>
      <c r="X40" s="92">
        <f>W40-4000</f>
        <v>4747.32</v>
      </c>
      <c r="Y40" s="92">
        <f>IF(P40&lt;X40,P40,X40)</f>
        <v>4747.32</v>
      </c>
      <c r="Z40" s="92">
        <f>IF(B40&gt;0,-PV(AB40/12,AC40,Y40),"")</f>
        <v>168087.98151151492</v>
      </c>
      <c r="AA40" s="285">
        <v>165400</v>
      </c>
      <c r="AB40" s="108">
        <f>IF(B40&gt;0,'INPUT FIELDS'!W53," ")</f>
        <v>0.15810000000000002</v>
      </c>
      <c r="AC40" s="286">
        <v>48</v>
      </c>
      <c r="AD40" s="12"/>
      <c r="AE40" s="120" t="str">
        <f>IF(AA40&gt;0,IF(P40&lt;S40,"CHK IGIR","GO")," ")</f>
        <v>GO</v>
      </c>
      <c r="AF40" s="121" t="str">
        <f>IF(AA40&gt;0,IF(U40&lt;4000," NTHP BELOW 4K","GO")," ")</f>
        <v>GO</v>
      </c>
      <c r="AG40" s="39"/>
      <c r="AH40" s="25"/>
      <c r="AI40" s="25"/>
      <c r="AJ40" s="25"/>
      <c r="AK40" s="2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</row>
    <row r="41" spans="1:61" s="11" customFormat="1" ht="15.75" customHeight="1" thickBot="1">
      <c r="A41" s="15"/>
      <c r="B41" s="19"/>
      <c r="C41" s="19"/>
      <c r="D41" s="15"/>
      <c r="E41" s="40"/>
      <c r="F41" s="79" t="str">
        <f>IF('INPUT FIELDS'!BL16&gt;0,'INPUT FIELDS'!BL16,"")</f>
        <v/>
      </c>
      <c r="G41" s="80"/>
      <c r="H41" s="80"/>
      <c r="I41" s="288"/>
      <c r="J41" s="289"/>
      <c r="K41" s="289"/>
      <c r="L41" s="289"/>
      <c r="M41" s="289"/>
      <c r="N41" s="289"/>
      <c r="O41" s="81"/>
      <c r="P41" s="81"/>
      <c r="Q41" s="331"/>
      <c r="R41" s="331"/>
      <c r="S41" s="82"/>
      <c r="T41" s="83"/>
      <c r="U41" s="81"/>
      <c r="V41" s="81"/>
      <c r="W41" s="81"/>
      <c r="X41" s="81"/>
      <c r="Y41" s="81"/>
      <c r="Z41" s="81"/>
      <c r="AA41" s="285"/>
      <c r="AB41" s="106"/>
      <c r="AC41" s="286"/>
      <c r="AD41" s="12"/>
      <c r="AE41" s="15"/>
      <c r="AF41" s="119"/>
      <c r="AG41" s="39"/>
      <c r="AH41" s="25"/>
      <c r="AI41" s="25"/>
      <c r="AJ41" s="25"/>
      <c r="AK41" s="2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</row>
    <row r="42" spans="1:61" s="11" customFormat="1" ht="15.75" customHeight="1" thickBot="1">
      <c r="A42" s="15"/>
      <c r="B42" s="20">
        <f>'INPUT FIELDS'!E55</f>
        <v>22656</v>
      </c>
      <c r="C42" s="20">
        <f>'INPUT FIELDS'!F55</f>
        <v>34319</v>
      </c>
      <c r="D42" s="15"/>
      <c r="E42" s="40">
        <f>IF(B42&gt;0,10," ")</f>
        <v>10</v>
      </c>
      <c r="F42" s="294" t="str">
        <f>IF(B42&gt;0,'INPUT FIELDS'!D55," ")</f>
        <v>GONZALES, RUBIA ABARCAR</v>
      </c>
      <c r="G42" s="80">
        <f ca="1">IF(B42&gt;0,'INPUT FIELDS'!G55," ")</f>
        <v>64</v>
      </c>
      <c r="H42" s="80">
        <f ca="1">IF(B42&gt;0,'INPUT FIELDS'!H55," ")</f>
        <v>32</v>
      </c>
      <c r="I42" s="91" t="str">
        <f>IF(B42&gt;0,'INPUT FIELDS'!I55," ")</f>
        <v>LABORATORY AIDE I</v>
      </c>
      <c r="J42" s="92">
        <f>IF(B42&gt;0,'INPUT FIELDS'!J55," ")</f>
        <v>10373</v>
      </c>
      <c r="K42" s="92">
        <f>IF(B42&gt;0,'INPUT FIELDS'!K55," ")</f>
        <v>3650</v>
      </c>
      <c r="L42" s="92">
        <f>IF(B42&gt;0,'INPUT FIELDS'!L55," ")</f>
        <v>14023</v>
      </c>
      <c r="M42" s="92">
        <f>IF(B42&gt;0,'INPUT FIELDS'!M55," ")</f>
        <v>7735.27</v>
      </c>
      <c r="N42" s="92">
        <f>IF(B42&gt;0,'INPUT FIELDS'!N55," ")</f>
        <v>2752.49</v>
      </c>
      <c r="O42" s="93">
        <f>IF(B42&gt;0,IF(V42="NEW",'INPUT FIELDS'!O55,Q42)," ")</f>
        <v>0.35</v>
      </c>
      <c r="P42" s="92">
        <f>IF(B42&gt;0,IF(V42="NEW",'INPUT FIELDS'!P55,R42)," ")</f>
        <v>4908.0499999999993</v>
      </c>
      <c r="Q42" s="328">
        <f>IF(L42&lt;10000,20%,IF(L42&lt;13000,30%,IF(L42&lt;38000,35%,40%)))</f>
        <v>0.35</v>
      </c>
      <c r="R42" s="329">
        <f>Q42*L42</f>
        <v>4908.0499999999993</v>
      </c>
      <c r="S42" s="92">
        <f>IF(B42&gt;0,'INPUT FIELDS'!Q55," ")</f>
        <v>4205.3925666992072</v>
      </c>
      <c r="T42" s="92">
        <f>IF(B42&gt;0,'INPUT FIELDS'!R55," ")</f>
        <v>9188.1725666992079</v>
      </c>
      <c r="U42" s="92">
        <f>IF(B42&gt;0,'INPUT FIELDS'!S55," ")</f>
        <v>4834.8274333007921</v>
      </c>
      <c r="V42" s="92" t="str">
        <f>IF(B42&gt;0,'INPUT FIELDS'!T55," ")</f>
        <v>RENEWAL</v>
      </c>
      <c r="W42" s="92">
        <f>L42-M42+N42</f>
        <v>9040.2199999999993</v>
      </c>
      <c r="X42" s="92">
        <f>W42-4000</f>
        <v>5040.2199999999993</v>
      </c>
      <c r="Y42" s="92">
        <f>IF(P42&lt;X42,P42,X42)</f>
        <v>4908.0499999999993</v>
      </c>
      <c r="Z42" s="92">
        <f>IF(B42&gt;0,-PV(AB42/12,AC42,Y42),"")</f>
        <v>173778.93583276265</v>
      </c>
      <c r="AA42" s="285">
        <v>148900</v>
      </c>
      <c r="AB42" s="108">
        <f>IF(B42&gt;0,'INPUT FIELDS'!W55," ")</f>
        <v>0.15810000000000002</v>
      </c>
      <c r="AC42" s="286">
        <v>48</v>
      </c>
      <c r="AD42" s="12"/>
      <c r="AE42" s="120" t="str">
        <f>IF(AA42&gt;0,IF(P42&lt;S42,"CHK IGIR","GO")," ")</f>
        <v>GO</v>
      </c>
      <c r="AF42" s="121" t="str">
        <f>IF(AA42&gt;0,IF(U42&lt;4000," NTHP BELOW 4K","GO")," ")</f>
        <v>GO</v>
      </c>
      <c r="AG42" s="39"/>
      <c r="AH42" s="25"/>
      <c r="AI42" s="25"/>
      <c r="AJ42" s="25"/>
      <c r="AK42" s="2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</row>
    <row r="43" spans="1:61" s="11" customFormat="1" ht="15.75" customHeight="1" thickBot="1">
      <c r="A43" s="15"/>
      <c r="B43" s="20"/>
      <c r="C43" s="20"/>
      <c r="D43" s="15"/>
      <c r="E43" s="40"/>
      <c r="F43" s="79" t="str">
        <f>IF('INPUT FIELDS'!BN16&gt;0,'INPUT FIELDS'!BN16,"")</f>
        <v>PROVINCIAL AGRICULTURE OFFICE</v>
      </c>
      <c r="G43" s="80"/>
      <c r="H43" s="80"/>
      <c r="I43" s="288"/>
      <c r="J43" s="289"/>
      <c r="K43" s="289"/>
      <c r="L43" s="290"/>
      <c r="M43" s="289"/>
      <c r="N43" s="289"/>
      <c r="O43" s="291"/>
      <c r="P43" s="292"/>
      <c r="Q43" s="330"/>
      <c r="R43" s="330"/>
      <c r="S43" s="82"/>
      <c r="T43" s="83"/>
      <c r="U43" s="293"/>
      <c r="V43" s="90"/>
      <c r="W43" s="90"/>
      <c r="X43" s="90"/>
      <c r="Y43" s="90"/>
      <c r="Z43" s="290"/>
      <c r="AA43" s="285"/>
      <c r="AB43" s="287"/>
      <c r="AC43" s="286"/>
      <c r="AD43" s="12"/>
      <c r="AE43" s="122"/>
      <c r="AF43" s="119"/>
      <c r="AG43" s="39"/>
      <c r="AH43" s="25"/>
      <c r="AI43" s="25"/>
      <c r="AJ43" s="25"/>
      <c r="AK43" s="2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</row>
    <row r="44" spans="1:61" s="11" customFormat="1" ht="15.75" customHeight="1" thickBot="1">
      <c r="A44" s="15"/>
      <c r="B44" s="20">
        <f>'INPUT FIELDS'!E57</f>
        <v>24098</v>
      </c>
      <c r="C44" s="20">
        <f>'INPUT FIELDS'!F57</f>
        <v>35506</v>
      </c>
      <c r="D44" s="15"/>
      <c r="E44" s="40">
        <f>IF(B44&gt;0,11," ")</f>
        <v>11</v>
      </c>
      <c r="F44" s="294" t="str">
        <f>IF(B44&gt;0,'INPUT FIELDS'!D57," ")</f>
        <v>ARCALES, DOMINGO JR JADLOC</v>
      </c>
      <c r="G44" s="80">
        <f ca="1">IF(B44&gt;0,'INPUT FIELDS'!G57," ")</f>
        <v>60</v>
      </c>
      <c r="H44" s="80">
        <f ca="1">IF(B44&gt;0,'INPUT FIELDS'!H57," ")</f>
        <v>28</v>
      </c>
      <c r="I44" s="91" t="str">
        <f>IF(B44&gt;0,'INPUT FIELDS'!I57," ")</f>
        <v>AGRICULTURAL TECHNICIAN II</v>
      </c>
      <c r="J44" s="92">
        <f>IF(B44&gt;0,'INPUT FIELDS'!J57," ")</f>
        <v>15768.87</v>
      </c>
      <c r="K44" s="92">
        <f>IF(B44&gt;0,'INPUT FIELDS'!K57," ")</f>
        <v>2000</v>
      </c>
      <c r="L44" s="92">
        <f>IF(B44&gt;0,'INPUT FIELDS'!L57," ")</f>
        <v>17768.870000000003</v>
      </c>
      <c r="M44" s="92">
        <f>IF(B44&gt;0,'INPUT FIELDS'!M57," ")</f>
        <v>12313.58</v>
      </c>
      <c r="N44" s="92">
        <f>IF(B44&gt;0,'INPUT FIELDS'!N57," ")</f>
        <v>4207.5200000000004</v>
      </c>
      <c r="O44" s="93">
        <f>IF(B44&gt;0,IF(V44="NEW",'INPUT FIELDS'!O57,Q44)," ")</f>
        <v>0.35</v>
      </c>
      <c r="P44" s="92">
        <f>IF(B44&gt;0,IF(V44="NEW",'INPUT FIELDS'!P57,R44)," ")</f>
        <v>6219.1045000000004</v>
      </c>
      <c r="Q44" s="328">
        <f>IF(L44&lt;10000,20%,IF(L44&lt;13000,30%,IF(L44&lt;38000,35%,40%)))</f>
        <v>0.35</v>
      </c>
      <c r="R44" s="329">
        <f>Q44*L44</f>
        <v>6219.1045000000004</v>
      </c>
      <c r="S44" s="92">
        <f>IF(B44&gt;0,'INPUT FIELDS'!Q57," ")</f>
        <v>5329.4666040036291</v>
      </c>
      <c r="T44" s="92">
        <f>IF(B44&gt;0,'INPUT FIELDS'!R57," ")</f>
        <v>13435.526604003629</v>
      </c>
      <c r="U44" s="92">
        <f>IF(B44&gt;0,'INPUT FIELDS'!S57," ")</f>
        <v>4333.3433959963731</v>
      </c>
      <c r="V44" s="92" t="str">
        <f>IF(B44&gt;0,'INPUT FIELDS'!T57," ")</f>
        <v>RENEWAL</v>
      </c>
      <c r="W44" s="92">
        <f>L44-M44+N44</f>
        <v>9662.8100000000031</v>
      </c>
      <c r="X44" s="92">
        <f>W44-4000</f>
        <v>5662.8100000000031</v>
      </c>
      <c r="Y44" s="92">
        <f>IF(P44&lt;X44,P44,X44)</f>
        <v>5662.8100000000031</v>
      </c>
      <c r="Z44" s="92">
        <f>IF(B44&gt;0,-PV(AB44/12,AC44,Y44),"")</f>
        <v>200502.66309901635</v>
      </c>
      <c r="AA44" s="285">
        <v>188700</v>
      </c>
      <c r="AB44" s="108">
        <f>IF(B44&gt;0,'INPUT FIELDS'!W57," ")</f>
        <v>0.15810000000000002</v>
      </c>
      <c r="AC44" s="286">
        <v>48</v>
      </c>
      <c r="AD44" s="12"/>
      <c r="AE44" s="120" t="str">
        <f>IF(AA44&gt;0,IF(P44&lt;S44,"CHK IGIR","GO")," ")</f>
        <v>GO</v>
      </c>
      <c r="AF44" s="121" t="str">
        <f>IF(AA44&gt;0,IF(U44&lt;4000," NTHP BELOW 4K","GO")," ")</f>
        <v>GO</v>
      </c>
      <c r="AG44" s="39"/>
      <c r="AH44" s="25"/>
      <c r="AI44" s="25"/>
      <c r="AJ44" s="25"/>
      <c r="AK44" s="2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</row>
    <row r="45" spans="1:61" s="11" customFormat="1" ht="15.75" customHeight="1" thickBot="1">
      <c r="A45" s="15"/>
      <c r="B45" s="19"/>
      <c r="C45" s="19"/>
      <c r="D45" s="15"/>
      <c r="E45" s="40"/>
      <c r="F45" s="79" t="str">
        <f>IF('INPUT FIELDS'!BP16&gt;0,'INPUT FIELDS'!BP16,"")</f>
        <v/>
      </c>
      <c r="G45" s="80"/>
      <c r="H45" s="80"/>
      <c r="I45" s="288"/>
      <c r="J45" s="289"/>
      <c r="K45" s="289"/>
      <c r="L45" s="290"/>
      <c r="M45" s="289"/>
      <c r="N45" s="289"/>
      <c r="O45" s="291"/>
      <c r="P45" s="292"/>
      <c r="Q45" s="330"/>
      <c r="R45" s="330"/>
      <c r="S45" s="82"/>
      <c r="T45" s="83"/>
      <c r="U45" s="293"/>
      <c r="V45" s="90"/>
      <c r="W45" s="90"/>
      <c r="X45" s="90"/>
      <c r="Y45" s="90"/>
      <c r="Z45" s="290"/>
      <c r="AA45" s="285"/>
      <c r="AB45" s="287"/>
      <c r="AC45" s="286"/>
      <c r="AD45" s="12"/>
      <c r="AE45" s="122"/>
      <c r="AF45" s="119"/>
      <c r="AG45" s="39"/>
      <c r="AH45" s="25"/>
      <c r="AI45" s="25"/>
      <c r="AJ45" s="25"/>
      <c r="AK45" s="2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</row>
    <row r="46" spans="1:61" s="11" customFormat="1" ht="15.75" customHeight="1" thickBot="1">
      <c r="A46" s="15"/>
      <c r="B46" s="20">
        <f>'INPUT FIELDS'!E59</f>
        <v>19920</v>
      </c>
      <c r="C46" s="20">
        <f>'INPUT FIELDS'!F59</f>
        <v>29859</v>
      </c>
      <c r="D46" s="15"/>
      <c r="E46" s="40">
        <f>IF(B46&gt;0,12," ")</f>
        <v>12</v>
      </c>
      <c r="F46" s="294" t="str">
        <f>IF(B46&gt;0,'INPUT FIELDS'!D59," ")</f>
        <v>GACELOS, REBECCA TILLES</v>
      </c>
      <c r="G46" s="80">
        <f ca="1">IF(B46&gt;0,'INPUT FIELDS'!G59," ")</f>
        <v>71</v>
      </c>
      <c r="H46" s="80">
        <f ca="1">IF(B46&gt;0,'INPUT FIELDS'!H59," ")</f>
        <v>44</v>
      </c>
      <c r="I46" s="91" t="str">
        <f>IF(B46&gt;0,'INPUT FIELDS'!I59," ")</f>
        <v>AGRICULTURAL TECHNOLOGIST I</v>
      </c>
      <c r="J46" s="92">
        <f>IF(B46&gt;0,'INPUT FIELDS'!J59," ")</f>
        <v>18135</v>
      </c>
      <c r="K46" s="92">
        <f>IF(B46&gt;0,'INPUT FIELDS'!K59," ")</f>
        <v>2000</v>
      </c>
      <c r="L46" s="92">
        <f>IF(B46&gt;0,'INPUT FIELDS'!L59," ")</f>
        <v>20135</v>
      </c>
      <c r="M46" s="92">
        <f>IF(B46&gt;0,'INPUT FIELDS'!M59," ")</f>
        <v>14037.39</v>
      </c>
      <c r="N46" s="92">
        <f>IF(B46&gt;0,'INPUT FIELDS'!N59," ")</f>
        <v>4652.09</v>
      </c>
      <c r="O46" s="93">
        <f>IF(B46&gt;0,IF(V46="NEW",'INPUT FIELDS'!O59,Q46)," ")</f>
        <v>0.35</v>
      </c>
      <c r="P46" s="92">
        <f>IF(B46&gt;0,IF(V46="NEW",'INPUT FIELDS'!P59,R46)," ")</f>
        <v>7047.25</v>
      </c>
      <c r="Q46" s="328">
        <f>IF(L46&lt;10000,20%,IF(L46&lt;13000,30%,IF(L46&lt;38000,35%,40%)))</f>
        <v>0.35</v>
      </c>
      <c r="R46" s="329">
        <f>Q46*L46</f>
        <v>7047.25</v>
      </c>
      <c r="S46" s="92">
        <f>IF(B46&gt;0,'INPUT FIELDS'!Q59," ")</f>
        <v>6747.2685304529259</v>
      </c>
      <c r="T46" s="92">
        <f>IF(B46&gt;0,'INPUT FIELDS'!R59," ")</f>
        <v>16132.568530452925</v>
      </c>
      <c r="U46" s="92">
        <f>IF(B46&gt;0,'INPUT FIELDS'!S59," ")</f>
        <v>4002.4314695470748</v>
      </c>
      <c r="V46" s="92" t="str">
        <f>IF(B46&gt;0,'INPUT FIELDS'!T59," ")</f>
        <v>RENEWAL</v>
      </c>
      <c r="W46" s="92">
        <f>L46-M46+N46</f>
        <v>10749.7</v>
      </c>
      <c r="X46" s="92">
        <f>W46-4000</f>
        <v>6749.7000000000007</v>
      </c>
      <c r="Y46" s="92">
        <f>IF(P46&lt;X46,P46,X46)</f>
        <v>6749.7000000000007</v>
      </c>
      <c r="Z46" s="92">
        <f>IF(B46&gt;0,-PV(AB46/12,AC46,Y46),"")</f>
        <v>238986.09084878888</v>
      </c>
      <c r="AA46" s="285">
        <v>238900</v>
      </c>
      <c r="AB46" s="108">
        <f>IF(B46&gt;0,'INPUT FIELDS'!W59," ")</f>
        <v>0.15810000000000002</v>
      </c>
      <c r="AC46" s="286">
        <v>48</v>
      </c>
      <c r="AD46" s="12"/>
      <c r="AE46" s="120" t="str">
        <f>IF(AA46&gt;0,IF(P46&lt;S46,"CHK IGIR","GO")," ")</f>
        <v>GO</v>
      </c>
      <c r="AF46" s="121" t="str">
        <f>IF(AA46&gt;0,IF(U46&lt;4000," NTHP BELOW 4K","GO")," ")</f>
        <v>GO</v>
      </c>
      <c r="AG46" s="39"/>
      <c r="AH46" s="25"/>
      <c r="AI46" s="25"/>
      <c r="AJ46" s="25"/>
      <c r="AK46" s="2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</row>
    <row r="47" spans="1:61" s="11" customFormat="1" ht="15.75" customHeight="1" thickBot="1">
      <c r="A47" s="15"/>
      <c r="B47" s="19"/>
      <c r="C47" s="19"/>
      <c r="D47" s="15"/>
      <c r="E47" s="40"/>
      <c r="F47" s="79" t="str">
        <f>IF('INPUT FIELDS'!BR16&gt;0,'INPUT FIELDS'!BR16,"")</f>
        <v>PROVINCIAL SANGGUNIANG PANLALAWIGAN</v>
      </c>
      <c r="G47" s="80"/>
      <c r="H47" s="80"/>
      <c r="I47" s="288"/>
      <c r="J47" s="289"/>
      <c r="K47" s="289"/>
      <c r="L47" s="289"/>
      <c r="M47" s="289"/>
      <c r="N47" s="289"/>
      <c r="O47" s="81"/>
      <c r="P47" s="81"/>
      <c r="Q47" s="331"/>
      <c r="R47" s="331"/>
      <c r="S47" s="82"/>
      <c r="T47" s="83"/>
      <c r="U47" s="81"/>
      <c r="V47" s="81"/>
      <c r="W47" s="81"/>
      <c r="X47" s="81"/>
      <c r="Y47" s="81"/>
      <c r="Z47" s="81"/>
      <c r="AA47" s="285"/>
      <c r="AB47" s="106"/>
      <c r="AC47" s="286"/>
      <c r="AD47" s="12"/>
      <c r="AE47" s="15"/>
      <c r="AF47" s="119"/>
      <c r="AG47" s="39"/>
      <c r="AH47" s="25"/>
      <c r="AI47" s="25"/>
      <c r="AJ47" s="25"/>
      <c r="AK47" s="2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</row>
    <row r="48" spans="1:61" s="11" customFormat="1" ht="15.75" customHeight="1" thickBot="1">
      <c r="A48" s="15"/>
      <c r="B48" s="20">
        <f>'INPUT FIELDS'!E61</f>
        <v>21917</v>
      </c>
      <c r="C48" s="20">
        <f>'INPUT FIELDS'!F61</f>
        <v>29692</v>
      </c>
      <c r="D48" s="15"/>
      <c r="E48" s="40">
        <f>IF(B48&gt;0,13," ")</f>
        <v>13</v>
      </c>
      <c r="F48" s="294" t="str">
        <f>IF(B48&gt;0,'INPUT FIELDS'!D61," ")</f>
        <v>TONELETE, NARCISA  CAMUIN</v>
      </c>
      <c r="G48" s="80">
        <f ca="1">IF(B48&gt;0,'INPUT FIELDS'!G61," ")</f>
        <v>66</v>
      </c>
      <c r="H48" s="80">
        <f ca="1">IF(B48&gt;0,'INPUT FIELDS'!H61," ")</f>
        <v>44</v>
      </c>
      <c r="I48" s="91" t="str">
        <f>IF(B48&gt;0,'INPUT FIELDS'!I61," ")</f>
        <v>BOARD SECRETARY I</v>
      </c>
      <c r="J48" s="92">
        <f>IF(B48&gt;0,'INPUT FIELDS'!J61," ")</f>
        <v>23979</v>
      </c>
      <c r="K48" s="92">
        <f>IF(B48&gt;0,'INPUT FIELDS'!K61," ")</f>
        <v>2000</v>
      </c>
      <c r="L48" s="92">
        <f>IF(B48&gt;0,'INPUT FIELDS'!L61," ")</f>
        <v>25979</v>
      </c>
      <c r="M48" s="92">
        <f>IF(B48&gt;0,'INPUT FIELDS'!M61," ")</f>
        <v>16345.01</v>
      </c>
      <c r="N48" s="92">
        <f>IF(B48&gt;0,'INPUT FIELDS'!N61," ")</f>
        <v>6583.07</v>
      </c>
      <c r="O48" s="93">
        <f>IF(B48&gt;0,IF(V48="NEW",'INPUT FIELDS'!O61,Q48)," ")</f>
        <v>0.35</v>
      </c>
      <c r="P48" s="92">
        <f>IF(B48&gt;0,IF(V48="NEW",'INPUT FIELDS'!P61,R48)," ")</f>
        <v>9092.65</v>
      </c>
      <c r="Q48" s="328">
        <f>IF(L48&lt;10000,20%,IF(L48&lt;13000,30%,IF(L48&lt;38000,35%,40%)))</f>
        <v>0.35</v>
      </c>
      <c r="R48" s="329">
        <f>Q48*L48</f>
        <v>9092.65</v>
      </c>
      <c r="S48" s="92">
        <f>IF(B48&gt;0,'INPUT FIELDS'!Q61," ")</f>
        <v>9066.0242707215966</v>
      </c>
      <c r="T48" s="92">
        <f>IF(B48&gt;0,'INPUT FIELDS'!R61," ")</f>
        <v>18827.964270721597</v>
      </c>
      <c r="U48" s="92">
        <f>IF(B48&gt;0,'INPUT FIELDS'!S61," ")</f>
        <v>7151.0357292784029</v>
      </c>
      <c r="V48" s="92" t="str">
        <f>IF(B48&gt;0,'INPUT FIELDS'!T61," ")</f>
        <v>RENEWAL</v>
      </c>
      <c r="W48" s="92">
        <f>L48-M48+N48</f>
        <v>16217.06</v>
      </c>
      <c r="X48" s="92">
        <f>W48-4000</f>
        <v>12217.06</v>
      </c>
      <c r="Y48" s="92">
        <f>IF(P48&lt;X48,P48,X48)</f>
        <v>9092.65</v>
      </c>
      <c r="Z48" s="92">
        <f>IF(B48&gt;0,-PV(AB48/12,AC48,Y48),"")</f>
        <v>321942.73507803906</v>
      </c>
      <c r="AA48" s="285">
        <v>321000</v>
      </c>
      <c r="AB48" s="108">
        <f>IF(B48&gt;0,'INPUT FIELDS'!W61," ")</f>
        <v>0.15810000000000002</v>
      </c>
      <c r="AC48" s="286">
        <v>48</v>
      </c>
      <c r="AD48" s="12"/>
      <c r="AE48" s="120" t="str">
        <f>IF(AA48&gt;0,IF(P48&lt;S48,"CHK IGIR","GO")," ")</f>
        <v>GO</v>
      </c>
      <c r="AF48" s="121" t="str">
        <f>IF(AA48&gt;0,IF(U48&lt;4000," NTHP BELOW 4K","GO")," ")</f>
        <v>GO</v>
      </c>
      <c r="AG48" s="39"/>
      <c r="AH48" s="25"/>
      <c r="AI48" s="25"/>
      <c r="AJ48" s="25"/>
      <c r="AK48" s="2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</row>
    <row r="49" spans="1:61" s="11" customFormat="1" ht="15.75" customHeight="1" thickBot="1">
      <c r="A49" s="15"/>
      <c r="B49" s="20"/>
      <c r="C49" s="20"/>
      <c r="D49" s="15"/>
      <c r="E49" s="40"/>
      <c r="F49" s="79" t="str">
        <f>IF('INPUT FIELDS'!BT16&gt;0,'INPUT FIELDS'!BT16,"")</f>
        <v/>
      </c>
      <c r="G49" s="80"/>
      <c r="H49" s="80"/>
      <c r="I49" s="288"/>
      <c r="J49" s="289"/>
      <c r="K49" s="289"/>
      <c r="L49" s="290"/>
      <c r="M49" s="289"/>
      <c r="N49" s="289"/>
      <c r="O49" s="291"/>
      <c r="P49" s="292"/>
      <c r="Q49" s="330"/>
      <c r="R49" s="330"/>
      <c r="S49" s="82"/>
      <c r="T49" s="83"/>
      <c r="U49" s="293"/>
      <c r="V49" s="90"/>
      <c r="W49" s="90"/>
      <c r="X49" s="90"/>
      <c r="Y49" s="90"/>
      <c r="Z49" s="290"/>
      <c r="AA49" s="285"/>
      <c r="AB49" s="287"/>
      <c r="AC49" s="286"/>
      <c r="AD49" s="12"/>
      <c r="AE49" s="122"/>
      <c r="AF49" s="119"/>
      <c r="AG49" s="39"/>
      <c r="AH49" s="25"/>
      <c r="AI49" s="25"/>
      <c r="AJ49" s="25"/>
      <c r="AK49" s="2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</row>
    <row r="50" spans="1:61" s="11" customFormat="1" ht="15.75" customHeight="1" thickBot="1">
      <c r="A50" s="15"/>
      <c r="B50" s="20">
        <f>'INPUT FIELDS'!E63</f>
        <v>25812</v>
      </c>
      <c r="C50" s="20">
        <f>'INPUT FIELDS'!F63</f>
        <v>37097</v>
      </c>
      <c r="D50" s="15"/>
      <c r="E50" s="40">
        <f>IF(B50&gt;0,14," ")</f>
        <v>14</v>
      </c>
      <c r="F50" s="294" t="str">
        <f>IF(B50&gt;0,'INPUT FIELDS'!D63," ")</f>
        <v>GABON, MA WINONA CON UI</v>
      </c>
      <c r="G50" s="80">
        <f ca="1">IF(B50&gt;0,'INPUT FIELDS'!G63," ")</f>
        <v>55</v>
      </c>
      <c r="H50" s="80">
        <f ca="1">IF(B50&gt;0,'INPUT FIELDS'!H63," ")</f>
        <v>24</v>
      </c>
      <c r="I50" s="91" t="str">
        <f>IF(B50&gt;0,'INPUT FIELDS'!I63," ")</f>
        <v>COMPUTER MAINTENANCE TECHNICIAN</v>
      </c>
      <c r="J50" s="92">
        <f>IF(B50&gt;0,'INPUT FIELDS'!J63," ")</f>
        <v>19495</v>
      </c>
      <c r="K50" s="92">
        <f>IF(B50&gt;0,'INPUT FIELDS'!K63," ")</f>
        <v>2000</v>
      </c>
      <c r="L50" s="92">
        <f>IF(B50&gt;0,'INPUT FIELDS'!L63," ")</f>
        <v>21495</v>
      </c>
      <c r="M50" s="92">
        <f>IF(B50&gt;0,'INPUT FIELDS'!M63," ")</f>
        <v>8580.2000000000007</v>
      </c>
      <c r="N50" s="92">
        <f>IF(B50&gt;0,'INPUT FIELDS'!N63," ")</f>
        <v>5176.43</v>
      </c>
      <c r="O50" s="93">
        <f>IF(B50&gt;0,IF(V50="NEW",'INPUT FIELDS'!O63,Q50)," ")</f>
        <v>0.35</v>
      </c>
      <c r="P50" s="92">
        <f>IF(B50&gt;0,IF(V50="NEW",'INPUT FIELDS'!P63,R50)," ")</f>
        <v>7523.2499999999991</v>
      </c>
      <c r="Q50" s="328">
        <f>IF(L50&lt;10000,20%,IF(L50&lt;13000,30%,IF(L50&lt;38000,35%,40%)))</f>
        <v>0.35</v>
      </c>
      <c r="R50" s="329">
        <f>Q50*L50</f>
        <v>7523.2499999999991</v>
      </c>
      <c r="S50" s="92">
        <f>IF(B50&gt;0,'INPUT FIELDS'!Q63," ")</f>
        <v>7521.1285460846129</v>
      </c>
      <c r="T50" s="92">
        <f>IF(B50&gt;0,'INPUT FIELDS'!R63," ")</f>
        <v>10924.898546084612</v>
      </c>
      <c r="U50" s="92">
        <f>IF(B50&gt;0,'INPUT FIELDS'!S63," ")</f>
        <v>10570.101453915388</v>
      </c>
      <c r="V50" s="92" t="str">
        <f>IF(B50&gt;0,'INPUT FIELDS'!T63," ")</f>
        <v>RENEWAL</v>
      </c>
      <c r="W50" s="92">
        <f>L50-M50+N50</f>
        <v>18091.23</v>
      </c>
      <c r="X50" s="92">
        <f>W50-4000</f>
        <v>14091.23</v>
      </c>
      <c r="Y50" s="92">
        <f>IF(P50&lt;X50,P50,X50)</f>
        <v>7523.2499999999991</v>
      </c>
      <c r="Z50" s="92">
        <f>IF(B50&gt;0,-PV(AB50/12,AC50,Y50),"")</f>
        <v>266375.11414998455</v>
      </c>
      <c r="AA50" s="285">
        <v>266300</v>
      </c>
      <c r="AB50" s="108">
        <f>IF(B50&gt;0,'INPUT FIELDS'!W63," ")</f>
        <v>0.15810000000000002</v>
      </c>
      <c r="AC50" s="286">
        <v>48</v>
      </c>
      <c r="AD50" s="12"/>
      <c r="AE50" s="120" t="str">
        <f>IF(AA50&gt;0,IF(P50&lt;S50,"CHK IGIR","GO")," ")</f>
        <v>GO</v>
      </c>
      <c r="AF50" s="121" t="str">
        <f>IF(AA50&gt;0,IF(U50&lt;4000," NTHP BELOW 4K","GO")," ")</f>
        <v>GO</v>
      </c>
      <c r="AG50" s="39"/>
      <c r="AH50" s="25"/>
      <c r="AI50" s="25"/>
      <c r="AJ50" s="25"/>
      <c r="AK50" s="2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</row>
    <row r="51" spans="1:61" s="11" customFormat="1" ht="15.75" customHeight="1" thickBot="1">
      <c r="A51" s="15"/>
      <c r="B51" s="19"/>
      <c r="C51" s="19"/>
      <c r="D51" s="15"/>
      <c r="E51" s="40"/>
      <c r="F51" s="79" t="str">
        <f>IF('INPUT FIELDS'!BV16&gt;0,'INPUT FIELDS'!BV16,"")</f>
        <v/>
      </c>
      <c r="G51" s="80"/>
      <c r="H51" s="80"/>
      <c r="I51" s="288"/>
      <c r="J51" s="289"/>
      <c r="K51" s="289"/>
      <c r="L51" s="290"/>
      <c r="M51" s="289"/>
      <c r="N51" s="289"/>
      <c r="O51" s="291"/>
      <c r="P51" s="292"/>
      <c r="Q51" s="330"/>
      <c r="R51" s="330"/>
      <c r="S51" s="82"/>
      <c r="T51" s="83"/>
      <c r="U51" s="293"/>
      <c r="V51" s="90"/>
      <c r="W51" s="90"/>
      <c r="X51" s="90"/>
      <c r="Y51" s="90"/>
      <c r="Z51" s="290"/>
      <c r="AA51" s="285"/>
      <c r="AB51" s="287"/>
      <c r="AC51" s="286"/>
      <c r="AD51" s="12"/>
      <c r="AE51" s="122"/>
      <c r="AF51" s="119"/>
      <c r="AG51" s="39"/>
      <c r="AH51" s="25"/>
      <c r="AI51" s="25"/>
      <c r="AJ51" s="25"/>
      <c r="AK51" s="2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</row>
    <row r="52" spans="1:61" s="11" customFormat="1" ht="15.75" customHeight="1" thickBot="1">
      <c r="A52" s="15"/>
      <c r="B52" s="20">
        <f>'INPUT FIELDS'!E65</f>
        <v>0</v>
      </c>
      <c r="C52" s="20">
        <f>'INPUT FIELDS'!F65</f>
        <v>0</v>
      </c>
      <c r="D52" s="15"/>
      <c r="E52" s="40" t="str">
        <f>IF(B52&gt;0,15," ")</f>
        <v xml:space="preserve"> </v>
      </c>
      <c r="F52" s="294" t="str">
        <f>IF(B52&gt;0,'INPUT FIELDS'!D65," ")</f>
        <v xml:space="preserve"> </v>
      </c>
      <c r="G52" s="80" t="str">
        <f>IF(B52&gt;0,'INPUT FIELDS'!G65," ")</f>
        <v xml:space="preserve"> </v>
      </c>
      <c r="H52" s="80" t="str">
        <f>IF(B52&gt;0,'INPUT FIELDS'!H65," ")</f>
        <v xml:space="preserve"> </v>
      </c>
      <c r="I52" s="91" t="str">
        <f>IF(B52&gt;0,'INPUT FIELDS'!I65," ")</f>
        <v xml:space="preserve"> </v>
      </c>
      <c r="J52" s="92" t="str">
        <f>IF(B52&gt;0,'INPUT FIELDS'!J65," ")</f>
        <v xml:space="preserve"> </v>
      </c>
      <c r="K52" s="92" t="str">
        <f>IF(B52&gt;0,'INPUT FIELDS'!K65," ")</f>
        <v xml:space="preserve"> </v>
      </c>
      <c r="L52" s="92" t="str">
        <f>IF(B52&gt;0,'INPUT FIELDS'!L65," ")</f>
        <v xml:space="preserve"> </v>
      </c>
      <c r="M52" s="92" t="str">
        <f>IF(B52&gt;0,'INPUT FIELDS'!M65," ")</f>
        <v xml:space="preserve"> </v>
      </c>
      <c r="N52" s="92" t="str">
        <f>IF(B52&gt;0,'INPUT FIELDS'!N65," ")</f>
        <v xml:space="preserve"> </v>
      </c>
      <c r="O52" s="93" t="str">
        <f>IF(B52&gt;0,IF(V52="NEW",'INPUT FIELDS'!O65,Q52)," ")</f>
        <v xml:space="preserve"> </v>
      </c>
      <c r="P52" s="92" t="str">
        <f>IF(B52&gt;0,IF(V52="NEW",'INPUT FIELDS'!P65,R52)," ")</f>
        <v xml:space="preserve"> </v>
      </c>
      <c r="Q52" s="328">
        <f>IF(L52&lt;10000,20%,IF(L52&lt;13000,30%,IF(L52&lt;38000,35%,40%)))</f>
        <v>0.4</v>
      </c>
      <c r="R52" s="329" t="e">
        <f>Q52*L52</f>
        <v>#VALUE!</v>
      </c>
      <c r="S52" s="92" t="str">
        <f>IF(B52&gt;0,'INPUT FIELDS'!Q65," ")</f>
        <v xml:space="preserve"> </v>
      </c>
      <c r="T52" s="92" t="str">
        <f>IF(B52&gt;0,'INPUT FIELDS'!R65," ")</f>
        <v xml:space="preserve"> </v>
      </c>
      <c r="U52" s="92" t="str">
        <f>IF(B52&gt;0,'INPUT FIELDS'!S65," ")</f>
        <v xml:space="preserve"> </v>
      </c>
      <c r="V52" s="92" t="str">
        <f>IF(B52&gt;0,'INPUT FIELDS'!T65," ")</f>
        <v xml:space="preserve"> </v>
      </c>
      <c r="W52" s="92" t="e">
        <f>L52-M52+N52</f>
        <v>#VALUE!</v>
      </c>
      <c r="X52" s="92" t="e">
        <f>W52-4000</f>
        <v>#VALUE!</v>
      </c>
      <c r="Y52" s="92" t="e">
        <f>IF(P52&lt;X52,P52,X52)</f>
        <v>#VALUE!</v>
      </c>
      <c r="Z52" s="92" t="str">
        <f>IF(B52&gt;0,-PV(AB52/12,AC52,Y52),"")</f>
        <v/>
      </c>
      <c r="AA52" s="285"/>
      <c r="AB52" s="108" t="str">
        <f>IF(B52&gt;0,'INPUT FIELDS'!W65," ")</f>
        <v xml:space="preserve"> </v>
      </c>
      <c r="AC52" s="286"/>
      <c r="AD52" s="12"/>
      <c r="AE52" s="120" t="str">
        <f>IF(AA52&gt;0,IF(P52&lt;S52,"CHK IGIR","GO")," ")</f>
        <v xml:space="preserve"> </v>
      </c>
      <c r="AF52" s="121" t="str">
        <f>IF(AA52&gt;0,IF(U52&lt;4000," NTHP BELOW 4K","GO")," ")</f>
        <v xml:space="preserve"> </v>
      </c>
      <c r="AG52" s="39"/>
      <c r="AH52" s="25"/>
      <c r="AI52" s="25"/>
      <c r="AJ52" s="25"/>
      <c r="AK52" s="2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</row>
    <row r="53" spans="1:61" s="11" customFormat="1" ht="15.75" customHeight="1" thickBot="1">
      <c r="A53" s="15"/>
      <c r="B53" s="19"/>
      <c r="C53" s="19"/>
      <c r="D53" s="15"/>
      <c r="E53" s="40"/>
      <c r="F53" s="79" t="str">
        <f>IF('INPUT FIELDS'!BX16&gt;0,'INPUT FIELDS'!BX16,"")</f>
        <v/>
      </c>
      <c r="G53" s="80"/>
      <c r="H53" s="80"/>
      <c r="I53" s="288"/>
      <c r="J53" s="289"/>
      <c r="K53" s="289"/>
      <c r="L53" s="289"/>
      <c r="M53" s="289"/>
      <c r="N53" s="289"/>
      <c r="O53" s="81"/>
      <c r="P53" s="81"/>
      <c r="Q53" s="331"/>
      <c r="R53" s="331"/>
      <c r="S53" s="82"/>
      <c r="T53" s="83"/>
      <c r="U53" s="81"/>
      <c r="V53" s="81"/>
      <c r="W53" s="81"/>
      <c r="X53" s="81"/>
      <c r="Y53" s="81"/>
      <c r="Z53" s="81"/>
      <c r="AA53" s="285"/>
      <c r="AB53" s="106"/>
      <c r="AC53" s="286"/>
      <c r="AD53" s="12"/>
      <c r="AE53" s="15"/>
      <c r="AF53" s="119"/>
      <c r="AG53" s="39"/>
      <c r="AH53" s="25"/>
      <c r="AI53" s="25"/>
      <c r="AJ53" s="25"/>
      <c r="AK53" s="2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</row>
    <row r="54" spans="1:61" s="11" customFormat="1" ht="15.75" customHeight="1" thickBot="1">
      <c r="A54" s="15"/>
      <c r="B54" s="20">
        <f>'INPUT FIELDS'!E67</f>
        <v>0</v>
      </c>
      <c r="C54" s="20">
        <f>'INPUT FIELDS'!F67</f>
        <v>0</v>
      </c>
      <c r="D54" s="15"/>
      <c r="E54" s="40" t="str">
        <f>IF(B54&gt;0,16," ")</f>
        <v xml:space="preserve"> </v>
      </c>
      <c r="F54" s="294" t="str">
        <f>IF(B54&gt;0,'INPUT FIELDS'!D67," ")</f>
        <v xml:space="preserve"> </v>
      </c>
      <c r="G54" s="80" t="str">
        <f>IF(B54&gt;0,'INPUT FIELDS'!G67," ")</f>
        <v xml:space="preserve"> </v>
      </c>
      <c r="H54" s="80" t="str">
        <f>IF(B54&gt;0,'INPUT FIELDS'!H67," ")</f>
        <v xml:space="preserve"> </v>
      </c>
      <c r="I54" s="91" t="str">
        <f>IF(B54&gt;0,'INPUT FIELDS'!I67," ")</f>
        <v xml:space="preserve"> </v>
      </c>
      <c r="J54" s="92" t="str">
        <f>IF(B54&gt;0,'INPUT FIELDS'!J67," ")</f>
        <v xml:space="preserve"> </v>
      </c>
      <c r="K54" s="92" t="str">
        <f>IF(B54&gt;0,'INPUT FIELDS'!K67," ")</f>
        <v xml:space="preserve"> </v>
      </c>
      <c r="L54" s="92" t="str">
        <f>IF(B54&gt;0,'INPUT FIELDS'!L67," ")</f>
        <v xml:space="preserve"> </v>
      </c>
      <c r="M54" s="92" t="str">
        <f>IF(B54&gt;0,'INPUT FIELDS'!M67," ")</f>
        <v xml:space="preserve"> </v>
      </c>
      <c r="N54" s="92" t="str">
        <f>IF(B54&gt;0,'INPUT FIELDS'!N67," ")</f>
        <v xml:space="preserve"> </v>
      </c>
      <c r="O54" s="93" t="str">
        <f>IF(B54&gt;0,IF(V54="NEW",'INPUT FIELDS'!O67,Q54)," ")</f>
        <v xml:space="preserve"> </v>
      </c>
      <c r="P54" s="92" t="str">
        <f>IF(B54&gt;0,IF(V54="NEW",'INPUT FIELDS'!P67,R54)," ")</f>
        <v xml:space="preserve"> </v>
      </c>
      <c r="Q54" s="328">
        <f>IF(L54&lt;10000,20%,IF(L54&lt;13000,30%,IF(L54&lt;38000,35%,40%)))</f>
        <v>0.4</v>
      </c>
      <c r="R54" s="329" t="e">
        <f>Q54*L54</f>
        <v>#VALUE!</v>
      </c>
      <c r="S54" s="92" t="str">
        <f>IF(B54&gt;0,'INPUT FIELDS'!Q67," ")</f>
        <v xml:space="preserve"> </v>
      </c>
      <c r="T54" s="92" t="str">
        <f>IF(B54&gt;0,'INPUT FIELDS'!R67," ")</f>
        <v xml:space="preserve"> </v>
      </c>
      <c r="U54" s="92" t="str">
        <f>IF(B54&gt;0,'INPUT FIELDS'!S67," ")</f>
        <v xml:space="preserve"> </v>
      </c>
      <c r="V54" s="92" t="str">
        <f>IF(B54&gt;0,'INPUT FIELDS'!T67," ")</f>
        <v xml:space="preserve"> </v>
      </c>
      <c r="W54" s="92" t="e">
        <f>L54-M54+N54</f>
        <v>#VALUE!</v>
      </c>
      <c r="X54" s="92" t="e">
        <f>W54-4000</f>
        <v>#VALUE!</v>
      </c>
      <c r="Y54" s="92" t="e">
        <f>IF(P54&lt;X54,P54,X54)</f>
        <v>#VALUE!</v>
      </c>
      <c r="Z54" s="92" t="str">
        <f>IF(B54&gt;0,-PV(AB54/12,AC54,Y54),"")</f>
        <v/>
      </c>
      <c r="AA54" s="285"/>
      <c r="AB54" s="108" t="str">
        <f>IF(B54&gt;0,'INPUT FIELDS'!W67," ")</f>
        <v xml:space="preserve"> </v>
      </c>
      <c r="AC54" s="286"/>
      <c r="AD54" s="12"/>
      <c r="AE54" s="120" t="str">
        <f>IF(AA54&gt;0,IF(P54&lt;S54,"CHK IGIR","GO")," ")</f>
        <v xml:space="preserve"> </v>
      </c>
      <c r="AF54" s="121" t="str">
        <f>IF(AA54&gt;0,IF(U54&lt;4000," NTHP BELOW 4K","GO")," ")</f>
        <v xml:space="preserve"> </v>
      </c>
      <c r="AG54" s="39"/>
      <c r="AH54" s="25"/>
      <c r="AI54" s="25"/>
      <c r="AJ54" s="25"/>
      <c r="AK54" s="2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</row>
    <row r="55" spans="1:61" s="11" customFormat="1" ht="15.75" customHeight="1" thickBot="1">
      <c r="A55" s="15"/>
      <c r="B55" s="20"/>
      <c r="C55" s="20"/>
      <c r="D55" s="15"/>
      <c r="E55" s="40"/>
      <c r="F55" s="79" t="str">
        <f>IF('INPUT FIELDS'!BZ16&gt;0,'INPUT FIELDS'!BZ16,"")</f>
        <v/>
      </c>
      <c r="G55" s="80"/>
      <c r="H55" s="80"/>
      <c r="I55" s="288"/>
      <c r="J55" s="289"/>
      <c r="K55" s="289"/>
      <c r="L55" s="290"/>
      <c r="M55" s="289"/>
      <c r="N55" s="289"/>
      <c r="O55" s="291"/>
      <c r="P55" s="292"/>
      <c r="Q55" s="330"/>
      <c r="R55" s="330"/>
      <c r="S55" s="82"/>
      <c r="T55" s="83"/>
      <c r="U55" s="293"/>
      <c r="V55" s="90"/>
      <c r="W55" s="90"/>
      <c r="X55" s="90"/>
      <c r="Y55" s="90"/>
      <c r="Z55" s="290"/>
      <c r="AA55" s="285"/>
      <c r="AB55" s="287"/>
      <c r="AC55" s="286"/>
      <c r="AD55" s="12"/>
      <c r="AE55" s="122"/>
      <c r="AF55" s="119"/>
      <c r="AG55" s="39"/>
      <c r="AH55" s="25"/>
      <c r="AI55" s="25"/>
      <c r="AJ55" s="25"/>
      <c r="AK55" s="2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</row>
    <row r="56" spans="1:61" s="11" customFormat="1" ht="15.75" customHeight="1" thickBot="1">
      <c r="A56" s="15"/>
      <c r="B56" s="20">
        <f>'INPUT FIELDS'!E69</f>
        <v>0</v>
      </c>
      <c r="C56" s="20">
        <f>'INPUT FIELDS'!F69</f>
        <v>0</v>
      </c>
      <c r="D56" s="15"/>
      <c r="E56" s="40" t="str">
        <f>IF(B56&gt;0,17," ")</f>
        <v xml:space="preserve"> </v>
      </c>
      <c r="F56" s="294" t="str">
        <f>IF(B56&gt;0,'INPUT FIELDS'!D69," ")</f>
        <v xml:space="preserve"> </v>
      </c>
      <c r="G56" s="80" t="str">
        <f>IF(B56&gt;0,'INPUT FIELDS'!G69," ")</f>
        <v xml:space="preserve"> </v>
      </c>
      <c r="H56" s="80" t="str">
        <f>IF(B56&gt;0,'INPUT FIELDS'!H69," ")</f>
        <v xml:space="preserve"> </v>
      </c>
      <c r="I56" s="91" t="str">
        <f>IF(B56&gt;0,'INPUT FIELDS'!I69," ")</f>
        <v xml:space="preserve"> </v>
      </c>
      <c r="J56" s="92" t="str">
        <f>IF(B56&gt;0,'INPUT FIELDS'!J69," ")</f>
        <v xml:space="preserve"> </v>
      </c>
      <c r="K56" s="92" t="str">
        <f>IF(B56&gt;0,'INPUT FIELDS'!K69," ")</f>
        <v xml:space="preserve"> </v>
      </c>
      <c r="L56" s="92" t="str">
        <f>IF(B56&gt;0,'INPUT FIELDS'!L69," ")</f>
        <v xml:space="preserve"> </v>
      </c>
      <c r="M56" s="92" t="str">
        <f>IF(B56&gt;0,'INPUT FIELDS'!M69," ")</f>
        <v xml:space="preserve"> </v>
      </c>
      <c r="N56" s="92" t="str">
        <f>IF(B56&gt;0,'INPUT FIELDS'!N69," ")</f>
        <v xml:space="preserve"> </v>
      </c>
      <c r="O56" s="93" t="str">
        <f>IF(B56&gt;0,IF(V56="NEW",'INPUT FIELDS'!O69,Q56)," ")</f>
        <v xml:space="preserve"> </v>
      </c>
      <c r="P56" s="92" t="str">
        <f>IF(B56&gt;0,IF(V56="NEW",'INPUT FIELDS'!P69,R56)," ")</f>
        <v xml:space="preserve"> </v>
      </c>
      <c r="Q56" s="328">
        <f>IF(L56&lt;10000,20%,IF(L56&lt;13000,30%,IF(L56&lt;38000,35%,40%)))</f>
        <v>0.4</v>
      </c>
      <c r="R56" s="329" t="e">
        <f>Q56*L56</f>
        <v>#VALUE!</v>
      </c>
      <c r="S56" s="92" t="str">
        <f>IF(B56&gt;0,'INPUT FIELDS'!Q69," ")</f>
        <v xml:space="preserve"> </v>
      </c>
      <c r="T56" s="92" t="str">
        <f>IF(B56&gt;0,'INPUT FIELDS'!R69," ")</f>
        <v xml:space="preserve"> </v>
      </c>
      <c r="U56" s="92" t="str">
        <f>IF(B56&gt;0,'INPUT FIELDS'!S69," ")</f>
        <v xml:space="preserve"> </v>
      </c>
      <c r="V56" s="92" t="str">
        <f>IF(B56&gt;0,'INPUT FIELDS'!T69," ")</f>
        <v xml:space="preserve"> </v>
      </c>
      <c r="W56" s="92" t="e">
        <f>L56-M56+N56</f>
        <v>#VALUE!</v>
      </c>
      <c r="X56" s="92" t="e">
        <f>W56-4000</f>
        <v>#VALUE!</v>
      </c>
      <c r="Y56" s="92" t="e">
        <f>IF(P56&lt;X56,P56,X56)</f>
        <v>#VALUE!</v>
      </c>
      <c r="Z56" s="92" t="str">
        <f>IF(B56&gt;0,-PV(AB56/12,AC56,Y56),"")</f>
        <v/>
      </c>
      <c r="AA56" s="285"/>
      <c r="AB56" s="108" t="str">
        <f>IF(B56&gt;0,'INPUT FIELDS'!W69," ")</f>
        <v xml:space="preserve"> </v>
      </c>
      <c r="AC56" s="286"/>
      <c r="AD56" s="12"/>
      <c r="AE56" s="120" t="str">
        <f>IF(AA56&gt;0,IF(P56&lt;S56,"CHK IGIR","GO")," ")</f>
        <v xml:space="preserve"> </v>
      </c>
      <c r="AF56" s="121" t="str">
        <f>IF(AA56&gt;0,IF(U56&lt;4000," NTHP BELOW 4K","GO")," ")</f>
        <v xml:space="preserve"> </v>
      </c>
      <c r="AG56" s="39"/>
      <c r="AH56" s="25"/>
      <c r="AI56" s="25"/>
      <c r="AJ56" s="25"/>
      <c r="AK56" s="2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</row>
    <row r="57" spans="1:61" s="11" customFormat="1" ht="15.75" customHeight="1" thickBot="1">
      <c r="A57" s="15"/>
      <c r="B57" s="19"/>
      <c r="C57" s="19"/>
      <c r="D57" s="15"/>
      <c r="E57" s="40"/>
      <c r="F57" s="79" t="str">
        <f>IF('INPUT FIELDS'!CB16&gt;0,'INPUT FIELDS'!CB16,"")</f>
        <v/>
      </c>
      <c r="G57" s="80"/>
      <c r="H57" s="80"/>
      <c r="I57" s="288"/>
      <c r="J57" s="289"/>
      <c r="K57" s="289"/>
      <c r="L57" s="290"/>
      <c r="M57" s="289"/>
      <c r="N57" s="289"/>
      <c r="O57" s="291"/>
      <c r="P57" s="292"/>
      <c r="Q57" s="330"/>
      <c r="R57" s="330"/>
      <c r="S57" s="82"/>
      <c r="T57" s="83"/>
      <c r="U57" s="293"/>
      <c r="V57" s="90"/>
      <c r="W57" s="90"/>
      <c r="X57" s="90"/>
      <c r="Y57" s="90"/>
      <c r="Z57" s="290"/>
      <c r="AA57" s="285"/>
      <c r="AB57" s="287"/>
      <c r="AC57" s="286"/>
      <c r="AD57" s="12"/>
      <c r="AE57" s="122"/>
      <c r="AF57" s="119"/>
      <c r="AG57" s="39"/>
      <c r="AH57" s="25"/>
      <c r="AI57" s="25"/>
      <c r="AJ57" s="25"/>
      <c r="AK57" s="2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</row>
    <row r="58" spans="1:61" s="11" customFormat="1" ht="15.75" customHeight="1" thickBot="1">
      <c r="A58" s="15"/>
      <c r="B58" s="20">
        <f>'INPUT FIELDS'!E71</f>
        <v>0</v>
      </c>
      <c r="C58" s="20">
        <f>'INPUT FIELDS'!F71</f>
        <v>0</v>
      </c>
      <c r="D58" s="15"/>
      <c r="E58" s="40" t="str">
        <f>IF(B58&gt;0,18," ")</f>
        <v xml:space="preserve"> </v>
      </c>
      <c r="F58" s="294" t="str">
        <f>IF(B58&gt;0,'INPUT FIELDS'!D71," ")</f>
        <v xml:space="preserve"> </v>
      </c>
      <c r="G58" s="80" t="str">
        <f>IF(B58&gt;0,'INPUT FIELDS'!G71," ")</f>
        <v xml:space="preserve"> </v>
      </c>
      <c r="H58" s="80" t="str">
        <f>IF(B58&gt;0,'INPUT FIELDS'!H71," ")</f>
        <v xml:space="preserve"> </v>
      </c>
      <c r="I58" s="91" t="str">
        <f>IF(B58&gt;0,'INPUT FIELDS'!I71," ")</f>
        <v xml:space="preserve"> </v>
      </c>
      <c r="J58" s="92" t="str">
        <f>IF(B58&gt;0,'INPUT FIELDS'!J71," ")</f>
        <v xml:space="preserve"> </v>
      </c>
      <c r="K58" s="92" t="str">
        <f>IF(B58&gt;0,'INPUT FIELDS'!K71," ")</f>
        <v xml:space="preserve"> </v>
      </c>
      <c r="L58" s="92" t="str">
        <f>IF(B58&gt;0,'INPUT FIELDS'!L71," ")</f>
        <v xml:space="preserve"> </v>
      </c>
      <c r="M58" s="92" t="str">
        <f>IF(B58&gt;0,'INPUT FIELDS'!M71," ")</f>
        <v xml:space="preserve"> </v>
      </c>
      <c r="N58" s="92" t="str">
        <f>IF(B58&gt;0,'INPUT FIELDS'!N71," ")</f>
        <v xml:space="preserve"> </v>
      </c>
      <c r="O58" s="93" t="str">
        <f>IF(B58&gt;0,IF(V58="NEW",'INPUT FIELDS'!O71,Q58)," ")</f>
        <v xml:space="preserve"> </v>
      </c>
      <c r="P58" s="92" t="str">
        <f>IF(B58&gt;0,IF(V58="NEW",'INPUT FIELDS'!P71,R58)," ")</f>
        <v xml:space="preserve"> </v>
      </c>
      <c r="Q58" s="328">
        <f>IF(L58&lt;10000,20%,IF(L58&lt;13000,30%,IF(L58&lt;38000,35%,40%)))</f>
        <v>0.4</v>
      </c>
      <c r="R58" s="329" t="e">
        <f>Q58*L58</f>
        <v>#VALUE!</v>
      </c>
      <c r="S58" s="92" t="str">
        <f>IF(B58&gt;0,'INPUT FIELDS'!Q71," ")</f>
        <v xml:space="preserve"> </v>
      </c>
      <c r="T58" s="92" t="str">
        <f>IF(B58&gt;0,'INPUT FIELDS'!R71," ")</f>
        <v xml:space="preserve"> </v>
      </c>
      <c r="U58" s="92" t="str">
        <f>IF(B58&gt;0,'INPUT FIELDS'!S71," ")</f>
        <v xml:space="preserve"> </v>
      </c>
      <c r="V58" s="92" t="str">
        <f>IF(B58&gt;0,'INPUT FIELDS'!T71," ")</f>
        <v xml:space="preserve"> </v>
      </c>
      <c r="W58" s="92" t="e">
        <f>L58-M58+N58</f>
        <v>#VALUE!</v>
      </c>
      <c r="X58" s="92" t="e">
        <f>W58-4000</f>
        <v>#VALUE!</v>
      </c>
      <c r="Y58" s="92" t="e">
        <f>IF(P58&lt;X58,P58,X58)</f>
        <v>#VALUE!</v>
      </c>
      <c r="Z58" s="92" t="str">
        <f>IF(B58&gt;0,-PV(AB58/12,AC58,Y58),"")</f>
        <v/>
      </c>
      <c r="AA58" s="285"/>
      <c r="AB58" s="108" t="str">
        <f>IF(B58&gt;0,'INPUT FIELDS'!W71," ")</f>
        <v xml:space="preserve"> </v>
      </c>
      <c r="AC58" s="286"/>
      <c r="AD58" s="12"/>
      <c r="AE58" s="120" t="str">
        <f>IF(AA58&gt;0,IF(P58&lt;S58,"CHK IGIR","GO")," ")</f>
        <v xml:space="preserve"> </v>
      </c>
      <c r="AF58" s="121" t="str">
        <f>IF(AA58&gt;0,IF(U58&lt;4000," NTHP BELOW 4K","GO")," ")</f>
        <v xml:space="preserve"> </v>
      </c>
      <c r="AG58" s="39"/>
      <c r="AH58" s="25"/>
      <c r="AI58" s="25"/>
      <c r="AJ58" s="25"/>
      <c r="AK58" s="2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</row>
    <row r="59" spans="1:61" s="11" customFormat="1" ht="15.75" customHeight="1" thickBot="1">
      <c r="A59" s="15"/>
      <c r="B59" s="19"/>
      <c r="C59" s="19"/>
      <c r="D59" s="15"/>
      <c r="E59" s="40"/>
      <c r="F59" s="79" t="str">
        <f>IF('INPUT FIELDS'!CD16&gt;0,'INPUT FIELDS'!CD16,"")</f>
        <v/>
      </c>
      <c r="G59" s="80"/>
      <c r="H59" s="80"/>
      <c r="I59" s="288"/>
      <c r="J59" s="289"/>
      <c r="K59" s="289"/>
      <c r="L59" s="289"/>
      <c r="M59" s="289"/>
      <c r="N59" s="289"/>
      <c r="O59" s="81"/>
      <c r="P59" s="81"/>
      <c r="Q59" s="331"/>
      <c r="R59" s="331"/>
      <c r="S59" s="82"/>
      <c r="T59" s="83"/>
      <c r="U59" s="81"/>
      <c r="V59" s="81"/>
      <c r="W59" s="81"/>
      <c r="X59" s="81"/>
      <c r="Y59" s="81"/>
      <c r="Z59" s="81"/>
      <c r="AA59" s="285"/>
      <c r="AB59" s="106"/>
      <c r="AC59" s="286"/>
      <c r="AD59" s="12"/>
      <c r="AE59" s="15"/>
      <c r="AF59" s="119"/>
      <c r="AG59" s="39"/>
      <c r="AH59" s="25"/>
      <c r="AI59" s="25"/>
      <c r="AJ59" s="25"/>
      <c r="AK59" s="2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</row>
    <row r="60" spans="1:61" s="11" customFormat="1" ht="15.75" customHeight="1" thickBot="1">
      <c r="A60" s="15"/>
      <c r="B60" s="20">
        <f>'INPUT FIELDS'!E73</f>
        <v>0</v>
      </c>
      <c r="C60" s="20">
        <f>'INPUT FIELDS'!F73</f>
        <v>0</v>
      </c>
      <c r="D60" s="15"/>
      <c r="E60" s="40" t="str">
        <f>IF(B60&gt;0,19," ")</f>
        <v xml:space="preserve"> </v>
      </c>
      <c r="F60" s="294" t="str">
        <f>IF(B60&gt;0,'INPUT FIELDS'!D73," ")</f>
        <v xml:space="preserve"> </v>
      </c>
      <c r="G60" s="80" t="str">
        <f>IF(B60&gt;0,'INPUT FIELDS'!G73," ")</f>
        <v xml:space="preserve"> </v>
      </c>
      <c r="H60" s="80" t="str">
        <f>IF(B60&gt;0,'INPUT FIELDS'!H73," ")</f>
        <v xml:space="preserve"> </v>
      </c>
      <c r="I60" s="91" t="str">
        <f>IF(B60&gt;0,'INPUT FIELDS'!I73," ")</f>
        <v xml:space="preserve"> </v>
      </c>
      <c r="J60" s="92" t="str">
        <f>IF(B60&gt;0,'INPUT FIELDS'!J73," ")</f>
        <v xml:space="preserve"> </v>
      </c>
      <c r="K60" s="92" t="str">
        <f>IF(B60&gt;0,'INPUT FIELDS'!K73," ")</f>
        <v xml:space="preserve"> </v>
      </c>
      <c r="L60" s="92" t="str">
        <f>IF(B60&gt;0,'INPUT FIELDS'!L73," ")</f>
        <v xml:space="preserve"> </v>
      </c>
      <c r="M60" s="92" t="str">
        <f>IF(B60&gt;0,'INPUT FIELDS'!M73," ")</f>
        <v xml:space="preserve"> </v>
      </c>
      <c r="N60" s="92" t="str">
        <f>IF(B60&gt;0,'INPUT FIELDS'!N73," ")</f>
        <v xml:space="preserve"> </v>
      </c>
      <c r="O60" s="93" t="str">
        <f>IF(B60&gt;0,IF(V60="NEW",'INPUT FIELDS'!O73,Q60)," ")</f>
        <v xml:space="preserve"> </v>
      </c>
      <c r="P60" s="92" t="str">
        <f>IF(B60&gt;0,IF(V60="NEW",'INPUT FIELDS'!P73,R60)," ")</f>
        <v xml:space="preserve"> </v>
      </c>
      <c r="Q60" s="328">
        <f>IF(L60&lt;10000,20%,IF(L60&lt;13000,30%,IF(L60&lt;38000,35%,40%)))</f>
        <v>0.4</v>
      </c>
      <c r="R60" s="329" t="e">
        <f>Q60*L60</f>
        <v>#VALUE!</v>
      </c>
      <c r="S60" s="92" t="str">
        <f>IF(B60&gt;0,'INPUT FIELDS'!Q73," ")</f>
        <v xml:space="preserve"> </v>
      </c>
      <c r="T60" s="92" t="str">
        <f>IF(B60&gt;0,'INPUT FIELDS'!R73," ")</f>
        <v xml:space="preserve"> </v>
      </c>
      <c r="U60" s="92" t="str">
        <f>IF(B60&gt;0,'INPUT FIELDS'!S73," ")</f>
        <v xml:space="preserve"> </v>
      </c>
      <c r="V60" s="92" t="str">
        <f>IF(B60&gt;0,'INPUT FIELDS'!T73," ")</f>
        <v xml:space="preserve"> </v>
      </c>
      <c r="W60" s="92" t="e">
        <f>L60-M60+N60</f>
        <v>#VALUE!</v>
      </c>
      <c r="X60" s="92" t="e">
        <f>W60-4000</f>
        <v>#VALUE!</v>
      </c>
      <c r="Y60" s="92" t="e">
        <f>IF(P60&lt;X60,P60,X60)</f>
        <v>#VALUE!</v>
      </c>
      <c r="Z60" s="92" t="str">
        <f>IF(B60&gt;0,-PV(AB60/12,AC60,Y60),"")</f>
        <v/>
      </c>
      <c r="AA60" s="285"/>
      <c r="AB60" s="108" t="str">
        <f>IF(B60&gt;0,'INPUT FIELDS'!W73," ")</f>
        <v xml:space="preserve"> </v>
      </c>
      <c r="AC60" s="286"/>
      <c r="AD60" s="12"/>
      <c r="AE60" s="120" t="str">
        <f>IF(AA60&gt;0,IF(P60&lt;S60,"CHK IGIR","GO")," ")</f>
        <v xml:space="preserve"> </v>
      </c>
      <c r="AF60" s="121" t="str">
        <f>IF(AA60&gt;0,IF(U60&lt;4000," NTHP BELOW 4K","GO")," ")</f>
        <v xml:space="preserve"> </v>
      </c>
      <c r="AG60" s="39"/>
      <c r="AH60" s="25"/>
      <c r="AI60" s="25"/>
      <c r="AJ60" s="25"/>
      <c r="AK60" s="2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</row>
    <row r="61" spans="1:61" s="11" customFormat="1" ht="15.75" customHeight="1" thickBot="1">
      <c r="A61" s="15"/>
      <c r="B61" s="20"/>
      <c r="C61" s="20"/>
      <c r="D61" s="15"/>
      <c r="E61" s="40"/>
      <c r="F61" s="79" t="str">
        <f>IF('INPUT FIELDS'!CF16&gt;0,'INPUT FIELDS'!CF16,"")</f>
        <v/>
      </c>
      <c r="G61" s="80"/>
      <c r="H61" s="80"/>
      <c r="I61" s="288"/>
      <c r="J61" s="289"/>
      <c r="K61" s="289"/>
      <c r="L61" s="290"/>
      <c r="M61" s="289"/>
      <c r="N61" s="289"/>
      <c r="O61" s="291"/>
      <c r="P61" s="292"/>
      <c r="Q61" s="330"/>
      <c r="R61" s="330"/>
      <c r="S61" s="82"/>
      <c r="T61" s="83"/>
      <c r="U61" s="293"/>
      <c r="V61" s="90"/>
      <c r="W61" s="90"/>
      <c r="X61" s="90"/>
      <c r="Y61" s="90"/>
      <c r="Z61" s="290"/>
      <c r="AA61" s="285"/>
      <c r="AB61" s="287"/>
      <c r="AC61" s="286"/>
      <c r="AD61" s="12"/>
      <c r="AE61" s="122"/>
      <c r="AF61" s="119"/>
      <c r="AG61" s="39"/>
      <c r="AH61" s="25"/>
      <c r="AI61" s="25"/>
      <c r="AJ61" s="25"/>
      <c r="AK61" s="2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</row>
    <row r="62" spans="1:61" s="11" customFormat="1" ht="15.75" customHeight="1" thickBot="1">
      <c r="A62" s="15"/>
      <c r="B62" s="20">
        <f>'INPUT FIELDS'!E75</f>
        <v>0</v>
      </c>
      <c r="C62" s="20">
        <f>'INPUT FIELDS'!F75</f>
        <v>0</v>
      </c>
      <c r="D62" s="15"/>
      <c r="E62" s="40" t="str">
        <f>IF(B62&gt;0,20," ")</f>
        <v xml:space="preserve"> </v>
      </c>
      <c r="F62" s="294" t="str">
        <f>IF(B62&gt;0,'INPUT FIELDS'!D75," ")</f>
        <v xml:space="preserve"> </v>
      </c>
      <c r="G62" s="80" t="str">
        <f>IF(B62&gt;0,'INPUT FIELDS'!G75," ")</f>
        <v xml:space="preserve"> </v>
      </c>
      <c r="H62" s="80" t="str">
        <f>IF(B62&gt;0,'INPUT FIELDS'!H75," ")</f>
        <v xml:space="preserve"> </v>
      </c>
      <c r="I62" s="91" t="str">
        <f>IF(B62&gt;0,'INPUT FIELDS'!I75," ")</f>
        <v xml:space="preserve"> </v>
      </c>
      <c r="J62" s="92" t="str">
        <f>IF(B62&gt;0,'INPUT FIELDS'!J75," ")</f>
        <v xml:space="preserve"> </v>
      </c>
      <c r="K62" s="92" t="str">
        <f>IF(B62&gt;0,'INPUT FIELDS'!K75," ")</f>
        <v xml:space="preserve"> </v>
      </c>
      <c r="L62" s="92" t="str">
        <f>IF(B62&gt;0,'INPUT FIELDS'!L75," ")</f>
        <v xml:space="preserve"> </v>
      </c>
      <c r="M62" s="92" t="str">
        <f>IF(B62&gt;0,'INPUT FIELDS'!M75," ")</f>
        <v xml:space="preserve"> </v>
      </c>
      <c r="N62" s="92" t="str">
        <f>IF(B62&gt;0,'INPUT FIELDS'!N75," ")</f>
        <v xml:space="preserve"> </v>
      </c>
      <c r="O62" s="93" t="str">
        <f>IF(B62&gt;0,IF(V62="NEW",'INPUT FIELDS'!O75,Q62)," ")</f>
        <v xml:space="preserve"> </v>
      </c>
      <c r="P62" s="92" t="str">
        <f>IF(B62&gt;0,IF(V62="NEW",'INPUT FIELDS'!P75,R62)," ")</f>
        <v xml:space="preserve"> </v>
      </c>
      <c r="Q62" s="328">
        <f>IF(L62&lt;10000,20%,IF(L62&lt;13000,30%,IF(L62&lt;38000,35%,40%)))</f>
        <v>0.4</v>
      </c>
      <c r="R62" s="329" t="e">
        <f>Q62*L62</f>
        <v>#VALUE!</v>
      </c>
      <c r="S62" s="92" t="str">
        <f>IF(B62&gt;0,'INPUT FIELDS'!Q75," ")</f>
        <v xml:space="preserve"> </v>
      </c>
      <c r="T62" s="92" t="str">
        <f>IF(B62&gt;0,'INPUT FIELDS'!R75," ")</f>
        <v xml:space="preserve"> </v>
      </c>
      <c r="U62" s="92" t="str">
        <f>IF(B62&gt;0,'INPUT FIELDS'!S75," ")</f>
        <v xml:space="preserve"> </v>
      </c>
      <c r="V62" s="92" t="str">
        <f>IF(B62&gt;0,'INPUT FIELDS'!T75," ")</f>
        <v xml:space="preserve"> </v>
      </c>
      <c r="W62" s="92" t="e">
        <f>L62-M62+N62</f>
        <v>#VALUE!</v>
      </c>
      <c r="X62" s="92" t="e">
        <f>W62-4000</f>
        <v>#VALUE!</v>
      </c>
      <c r="Y62" s="92" t="e">
        <f>IF(P62&lt;X62,P62,X62)</f>
        <v>#VALUE!</v>
      </c>
      <c r="Z62" s="92" t="str">
        <f>IF(B62&gt;0,-PV(AB62/12,AC62,Y62),"")</f>
        <v/>
      </c>
      <c r="AA62" s="285"/>
      <c r="AB62" s="108" t="str">
        <f>IF(B62&gt;0,'INPUT FIELDS'!W75," ")</f>
        <v xml:space="preserve"> </v>
      </c>
      <c r="AC62" s="286"/>
      <c r="AD62" s="46"/>
      <c r="AE62" s="120" t="str">
        <f>IF(AA62&gt;0,IF(P62&lt;S62,"CHK IGIR","GO")," ")</f>
        <v xml:space="preserve"> </v>
      </c>
      <c r="AF62" s="121" t="str">
        <f>IF(AA62&gt;0,IF(U62&lt;4000," NTHP BELOW 4K","GO")," ")</f>
        <v xml:space="preserve"> </v>
      </c>
      <c r="AG62" s="39"/>
      <c r="AH62" s="25"/>
      <c r="AI62" s="25"/>
      <c r="AJ62" s="25"/>
      <c r="AK62" s="2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</row>
    <row r="63" spans="1:61" s="11" customFormat="1" ht="15.75" customHeight="1" thickBot="1">
      <c r="A63" s="15"/>
      <c r="B63" s="19"/>
      <c r="C63" s="19"/>
      <c r="D63" s="15"/>
      <c r="E63" s="40"/>
      <c r="F63" s="295"/>
      <c r="G63" s="94"/>
      <c r="H63" s="94"/>
      <c r="I63" s="95"/>
      <c r="J63" s="95"/>
      <c r="K63" s="95"/>
      <c r="L63" s="96"/>
      <c r="M63" s="95"/>
      <c r="N63" s="95"/>
      <c r="O63" s="97"/>
      <c r="P63" s="98"/>
      <c r="Q63" s="332"/>
      <c r="R63" s="332"/>
      <c r="S63" s="99"/>
      <c r="T63" s="100"/>
      <c r="U63" s="96"/>
      <c r="V63" s="101"/>
      <c r="W63" s="101"/>
      <c r="X63" s="101"/>
      <c r="Y63" s="101"/>
      <c r="Z63" s="102"/>
      <c r="AA63" s="346"/>
      <c r="AB63" s="109"/>
      <c r="AC63" s="347"/>
      <c r="AD63" s="12"/>
      <c r="AE63" s="122"/>
      <c r="AF63" s="123"/>
      <c r="AG63" s="24"/>
      <c r="AH63" s="25"/>
      <c r="AI63" s="25"/>
      <c r="AJ63" s="25"/>
      <c r="AK63" s="2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</row>
    <row r="64" spans="1:61" s="11" customFormat="1" ht="15" thickTop="1" thickBot="1">
      <c r="A64" s="15"/>
      <c r="B64" s="19"/>
      <c r="C64" s="19"/>
      <c r="D64" s="15"/>
      <c r="E64" s="40"/>
      <c r="F64" s="6"/>
      <c r="G64" s="80"/>
      <c r="H64" s="80"/>
      <c r="I64" s="81"/>
      <c r="J64" s="81"/>
      <c r="K64" s="81"/>
      <c r="L64" s="81"/>
      <c r="M64" s="81"/>
      <c r="N64" s="81"/>
      <c r="O64" s="81"/>
      <c r="P64" s="81"/>
      <c r="Q64" s="331"/>
      <c r="R64" s="331"/>
      <c r="S64" s="82"/>
      <c r="T64" s="83"/>
      <c r="U64" s="81"/>
      <c r="V64" s="81"/>
      <c r="W64" s="81"/>
      <c r="X64" s="81"/>
      <c r="Y64" s="81"/>
      <c r="Z64" s="81"/>
      <c r="AA64" s="104">
        <f>SUM(AA24:AA62)</f>
        <v>2757450</v>
      </c>
      <c r="AB64" s="106"/>
      <c r="AC64" s="136"/>
      <c r="AD64" s="12"/>
      <c r="AE64" s="15"/>
      <c r="AF64" s="124"/>
      <c r="AG64" s="24"/>
      <c r="AH64" s="25"/>
      <c r="AI64" s="25"/>
      <c r="AJ64" s="25"/>
      <c r="AK64" s="2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</row>
    <row r="65" spans="1:61" s="11" customFormat="1">
      <c r="A65" s="15"/>
      <c r="B65" s="15"/>
      <c r="C65" s="15"/>
      <c r="D65" s="15"/>
      <c r="E65" s="40"/>
      <c r="F65" s="6" t="s">
        <v>33</v>
      </c>
      <c r="G65" s="6"/>
      <c r="H65" s="7"/>
      <c r="I65" s="54"/>
      <c r="J65" s="54" t="s">
        <v>34</v>
      </c>
      <c r="K65" s="54"/>
      <c r="L65" s="54"/>
      <c r="M65" s="54"/>
      <c r="N65" s="54"/>
      <c r="O65" s="54"/>
      <c r="P65" s="54"/>
      <c r="Q65" s="319"/>
      <c r="R65" s="319"/>
      <c r="S65" s="54" t="s">
        <v>35</v>
      </c>
      <c r="T65" s="54"/>
      <c r="U65" s="54"/>
      <c r="V65" s="54"/>
      <c r="W65" s="54"/>
      <c r="X65" s="54"/>
      <c r="Y65" s="54"/>
      <c r="Z65" s="54"/>
      <c r="AA65" s="127"/>
      <c r="AB65" s="110"/>
      <c r="AC65" s="137"/>
      <c r="AD65" s="9"/>
      <c r="AE65" s="15"/>
      <c r="AF65" s="23"/>
      <c r="AG65" s="24"/>
      <c r="AH65" s="25"/>
      <c r="AI65" s="25"/>
      <c r="AJ65" s="25"/>
      <c r="AK65" s="2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</row>
    <row r="66" spans="1:61" s="11" customFormat="1">
      <c r="A66" s="15"/>
      <c r="B66" s="15"/>
      <c r="C66" s="15"/>
      <c r="D66" s="15"/>
      <c r="E66" s="40"/>
      <c r="F66" s="6"/>
      <c r="G66" s="6"/>
      <c r="H66" s="7"/>
      <c r="I66" s="54"/>
      <c r="J66" s="54"/>
      <c r="K66" s="54"/>
      <c r="L66" s="54"/>
      <c r="M66" s="54"/>
      <c r="N66" s="54"/>
      <c r="O66" s="54"/>
      <c r="P66" s="54"/>
      <c r="Q66" s="319"/>
      <c r="R66" s="319"/>
      <c r="S66" s="54"/>
      <c r="T66" s="54"/>
      <c r="U66" s="54"/>
      <c r="V66" s="54"/>
      <c r="W66" s="54"/>
      <c r="X66" s="54"/>
      <c r="Y66" s="54"/>
      <c r="Z66" s="54"/>
      <c r="AA66" s="127"/>
      <c r="AB66" s="110"/>
      <c r="AC66" s="137"/>
      <c r="AD66" s="9"/>
      <c r="AE66" s="15"/>
      <c r="AF66" s="23"/>
      <c r="AG66" s="24"/>
      <c r="AH66" s="25"/>
      <c r="AI66" s="25"/>
      <c r="AJ66" s="25"/>
      <c r="AK66" s="2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</row>
    <row r="67" spans="1:61" s="8" customFormat="1">
      <c r="A67" s="15"/>
      <c r="B67" s="15"/>
      <c r="C67" s="15"/>
      <c r="D67" s="15"/>
      <c r="E67" s="40"/>
      <c r="F67" s="103" t="str">
        <f>Signatories!C9</f>
        <v>JANICE B. SOLAYAO</v>
      </c>
      <c r="G67" s="6"/>
      <c r="H67" s="7"/>
      <c r="I67" s="54"/>
      <c r="J67" s="103" t="str">
        <f>Signatories!C10</f>
        <v>AM IRISH MAE N. CREER</v>
      </c>
      <c r="K67" s="54"/>
      <c r="L67" s="54"/>
      <c r="M67" s="54"/>
      <c r="N67" s="54"/>
      <c r="O67" s="54"/>
      <c r="P67" s="54"/>
      <c r="Q67" s="319"/>
      <c r="R67" s="319"/>
      <c r="S67" s="103" t="str">
        <f>Signatories!C11</f>
        <v>SM HELBERT ANTOINE A. ACHAY</v>
      </c>
      <c r="T67" s="54"/>
      <c r="U67" s="54"/>
      <c r="V67" s="54"/>
      <c r="W67" s="54"/>
      <c r="X67" s="54"/>
      <c r="Y67" s="54"/>
      <c r="Z67" s="54"/>
      <c r="AA67" s="50"/>
      <c r="AB67" s="7"/>
      <c r="AC67" s="49"/>
      <c r="AD67" s="6"/>
      <c r="AE67" s="15"/>
      <c r="AF67" s="23"/>
      <c r="AG67" s="24"/>
      <c r="AH67" s="25"/>
      <c r="AI67" s="25"/>
      <c r="AJ67" s="25"/>
      <c r="AK67" s="2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</row>
    <row r="68" spans="1:61" s="8" customFormat="1">
      <c r="A68" s="15"/>
      <c r="B68" s="15"/>
      <c r="C68" s="15"/>
      <c r="D68" s="15"/>
      <c r="E68" s="40"/>
      <c r="F68" s="54" t="s">
        <v>295</v>
      </c>
      <c r="G68" s="6"/>
      <c r="H68" s="7"/>
      <c r="I68" s="54"/>
      <c r="J68" s="54" t="s">
        <v>326</v>
      </c>
      <c r="K68" s="54"/>
      <c r="L68" s="54"/>
      <c r="M68" s="54"/>
      <c r="N68" s="54"/>
      <c r="O68" s="54"/>
      <c r="P68" s="54"/>
      <c r="Q68" s="319"/>
      <c r="R68" s="319"/>
      <c r="S68" s="54" t="s">
        <v>289</v>
      </c>
      <c r="T68" s="54"/>
      <c r="U68" s="54"/>
      <c r="V68" s="54"/>
      <c r="W68" s="54"/>
      <c r="X68" s="54"/>
      <c r="Y68" s="54"/>
      <c r="Z68" s="54"/>
      <c r="AA68" s="50"/>
      <c r="AB68" s="7"/>
      <c r="AC68" s="49"/>
      <c r="AD68" s="6"/>
      <c r="AE68" s="15"/>
      <c r="AF68" s="23"/>
      <c r="AG68" s="24"/>
      <c r="AH68" s="25"/>
      <c r="AI68" s="25"/>
      <c r="AJ68" s="25"/>
      <c r="AK68" s="2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</row>
    <row r="69" spans="1:61" s="15" customFormat="1">
      <c r="E69" s="41"/>
      <c r="H69" s="21"/>
      <c r="I69" s="22"/>
      <c r="J69" s="22"/>
      <c r="K69" s="22"/>
      <c r="L69" s="22"/>
      <c r="M69" s="22"/>
      <c r="N69" s="22"/>
      <c r="O69" s="22"/>
      <c r="P69" s="22"/>
      <c r="Q69" s="333"/>
      <c r="R69" s="333"/>
      <c r="S69" s="22"/>
      <c r="T69" s="22"/>
      <c r="U69" s="22"/>
      <c r="V69" s="22"/>
      <c r="W69" s="22"/>
      <c r="X69" s="22"/>
      <c r="Y69" s="22"/>
      <c r="Z69" s="22"/>
      <c r="AA69" s="128"/>
      <c r="AB69" s="21"/>
      <c r="AC69" s="53"/>
      <c r="AF69" s="23"/>
      <c r="AG69" s="24"/>
      <c r="AH69" s="25"/>
      <c r="AI69" s="25"/>
      <c r="AJ69" s="25"/>
      <c r="AK69" s="25"/>
    </row>
    <row r="70" spans="1:61" s="15" customFormat="1">
      <c r="E70" s="41"/>
      <c r="H70" s="21"/>
      <c r="I70" s="22"/>
      <c r="J70" s="22"/>
      <c r="K70" s="22"/>
      <c r="L70" s="22"/>
      <c r="M70" s="22"/>
      <c r="N70" s="22"/>
      <c r="O70" s="22"/>
      <c r="P70" s="22"/>
      <c r="Q70" s="333"/>
      <c r="R70" s="333"/>
      <c r="S70" s="22"/>
      <c r="T70" s="22"/>
      <c r="U70" s="22"/>
      <c r="V70" s="22"/>
      <c r="W70" s="22"/>
      <c r="X70" s="22"/>
      <c r="Y70" s="22"/>
      <c r="Z70" s="22"/>
      <c r="AA70" s="128"/>
      <c r="AB70" s="21"/>
      <c r="AC70" s="53"/>
      <c r="AF70" s="23"/>
      <c r="AG70" s="24"/>
      <c r="AH70" s="25"/>
      <c r="AI70" s="25"/>
      <c r="AJ70" s="25"/>
      <c r="AK70" s="25"/>
    </row>
    <row r="71" spans="1:61" s="22" customFormat="1">
      <c r="A71" s="15"/>
      <c r="B71" s="15"/>
      <c r="C71" s="15"/>
      <c r="D71" s="15"/>
      <c r="E71" s="41"/>
      <c r="G71" s="15"/>
      <c r="H71" s="21"/>
      <c r="Q71" s="333"/>
      <c r="R71" s="333"/>
      <c r="AA71" s="128"/>
      <c r="AB71" s="21"/>
      <c r="AC71" s="53"/>
      <c r="AD71" s="15"/>
      <c r="AE71" s="15"/>
      <c r="AF71" s="23"/>
      <c r="AG71" s="24"/>
      <c r="AH71" s="25"/>
      <c r="AI71" s="25"/>
      <c r="AJ71" s="25"/>
      <c r="AK71" s="2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</row>
    <row r="72" spans="1:61" s="22" customFormat="1">
      <c r="A72" s="15"/>
      <c r="B72" s="15"/>
      <c r="C72" s="15"/>
      <c r="D72" s="15"/>
      <c r="E72" s="41"/>
      <c r="G72" s="15"/>
      <c r="H72" s="21"/>
      <c r="Q72" s="333"/>
      <c r="R72" s="333"/>
      <c r="AA72" s="128"/>
      <c r="AB72" s="21"/>
      <c r="AC72" s="53"/>
      <c r="AD72" s="15"/>
      <c r="AE72" s="15"/>
      <c r="AF72" s="23"/>
      <c r="AG72" s="24"/>
      <c r="AH72" s="25"/>
      <c r="AI72" s="25"/>
      <c r="AJ72" s="25"/>
      <c r="AK72" s="2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</row>
    <row r="73" spans="1:61" s="15" customFormat="1">
      <c r="E73" s="41"/>
      <c r="H73" s="21"/>
      <c r="I73" s="22"/>
      <c r="J73" s="22"/>
      <c r="K73" s="22"/>
      <c r="L73" s="22"/>
      <c r="M73" s="22"/>
      <c r="N73" s="22"/>
      <c r="O73" s="22"/>
      <c r="P73" s="22"/>
      <c r="Q73" s="333"/>
      <c r="R73" s="333"/>
      <c r="S73" s="22"/>
      <c r="T73" s="22"/>
      <c r="U73" s="22"/>
      <c r="V73" s="22"/>
      <c r="W73" s="22"/>
      <c r="X73" s="22"/>
      <c r="Y73" s="22"/>
      <c r="Z73" s="22"/>
      <c r="AA73" s="128"/>
      <c r="AB73" s="21"/>
      <c r="AC73" s="53"/>
      <c r="AF73" s="23"/>
      <c r="AG73" s="24"/>
      <c r="AH73" s="25"/>
      <c r="AI73" s="25"/>
      <c r="AJ73" s="25"/>
      <c r="AK73" s="25"/>
    </row>
    <row r="74" spans="1:61" s="15" customFormat="1">
      <c r="E74" s="41"/>
      <c r="H74" s="21"/>
      <c r="I74" s="22"/>
      <c r="J74" s="22"/>
      <c r="K74" s="22"/>
      <c r="L74" s="22"/>
      <c r="M74" s="22"/>
      <c r="N74" s="22"/>
      <c r="O74" s="22"/>
      <c r="P74" s="22"/>
      <c r="Q74" s="333"/>
      <c r="R74" s="333"/>
      <c r="S74" s="22"/>
      <c r="T74" s="22"/>
      <c r="U74" s="22"/>
      <c r="V74" s="22"/>
      <c r="W74" s="22"/>
      <c r="X74" s="22"/>
      <c r="Y74" s="22"/>
      <c r="Z74" s="22"/>
      <c r="AA74" s="128"/>
      <c r="AB74" s="21"/>
      <c r="AC74" s="53"/>
      <c r="AF74" s="23"/>
      <c r="AG74" s="24"/>
      <c r="AH74" s="25"/>
      <c r="AI74" s="25"/>
      <c r="AJ74" s="25"/>
      <c r="AK74" s="25"/>
    </row>
    <row r="75" spans="1:61" s="15" customFormat="1">
      <c r="E75" s="41"/>
      <c r="H75" s="21"/>
      <c r="I75" s="22"/>
      <c r="J75" s="22"/>
      <c r="K75" s="22"/>
      <c r="L75" s="22"/>
      <c r="M75" s="22"/>
      <c r="N75" s="22"/>
      <c r="O75" s="22"/>
      <c r="P75" s="22"/>
      <c r="Q75" s="333"/>
      <c r="R75" s="333"/>
      <c r="S75" s="22"/>
      <c r="T75" s="22"/>
      <c r="U75" s="22"/>
      <c r="V75" s="22"/>
      <c r="W75" s="22"/>
      <c r="X75" s="22"/>
      <c r="Y75" s="22"/>
      <c r="Z75" s="22"/>
      <c r="AA75" s="128"/>
      <c r="AB75" s="21"/>
      <c r="AC75" s="53"/>
      <c r="AF75" s="23"/>
      <c r="AG75" s="24"/>
      <c r="AH75" s="25"/>
      <c r="AI75" s="25"/>
      <c r="AJ75" s="25"/>
      <c r="AK75" s="25"/>
    </row>
    <row r="76" spans="1:61" s="15" customFormat="1">
      <c r="E76" s="41"/>
      <c r="H76" s="21"/>
      <c r="I76" s="22"/>
      <c r="J76" s="22"/>
      <c r="K76" s="22"/>
      <c r="L76" s="22"/>
      <c r="M76" s="22"/>
      <c r="N76" s="22"/>
      <c r="O76" s="22"/>
      <c r="P76" s="22"/>
      <c r="Q76" s="333"/>
      <c r="R76" s="333"/>
      <c r="S76" s="22"/>
      <c r="T76" s="22"/>
      <c r="U76" s="22"/>
      <c r="V76" s="22"/>
      <c r="W76" s="22"/>
      <c r="X76" s="22"/>
      <c r="Y76" s="22"/>
      <c r="Z76" s="22"/>
      <c r="AA76" s="128"/>
      <c r="AB76" s="21"/>
      <c r="AC76" s="53"/>
      <c r="AF76" s="23"/>
      <c r="AG76" s="24"/>
      <c r="AH76" s="25"/>
      <c r="AI76" s="25"/>
      <c r="AJ76" s="25"/>
      <c r="AK76" s="25"/>
    </row>
    <row r="77" spans="1:61" s="15" customFormat="1">
      <c r="E77" s="41"/>
      <c r="H77" s="21"/>
      <c r="I77" s="22"/>
      <c r="J77" s="22"/>
      <c r="K77" s="22"/>
      <c r="L77" s="22"/>
      <c r="M77" s="22"/>
      <c r="N77" s="22"/>
      <c r="O77" s="22"/>
      <c r="P77" s="22"/>
      <c r="Q77" s="333"/>
      <c r="R77" s="333"/>
      <c r="S77" s="22"/>
      <c r="T77" s="22"/>
      <c r="U77" s="22"/>
      <c r="V77" s="22"/>
      <c r="W77" s="22"/>
      <c r="X77" s="22"/>
      <c r="Y77" s="22"/>
      <c r="Z77" s="22"/>
      <c r="AA77" s="128"/>
      <c r="AB77" s="21"/>
      <c r="AC77" s="53"/>
      <c r="AF77" s="23"/>
      <c r="AG77" s="24"/>
      <c r="AH77" s="25"/>
      <c r="AI77" s="25"/>
      <c r="AJ77" s="25"/>
      <c r="AK77" s="25"/>
    </row>
    <row r="78" spans="1:61" s="15" customFormat="1">
      <c r="E78" s="41"/>
      <c r="H78" s="21"/>
      <c r="I78" s="22"/>
      <c r="J78" s="22"/>
      <c r="K78" s="22"/>
      <c r="L78" s="22"/>
      <c r="M78" s="22"/>
      <c r="N78" s="22"/>
      <c r="O78" s="22"/>
      <c r="P78" s="22"/>
      <c r="Q78" s="333"/>
      <c r="R78" s="333"/>
      <c r="S78" s="22"/>
      <c r="T78" s="22"/>
      <c r="U78" s="22"/>
      <c r="V78" s="22"/>
      <c r="W78" s="22"/>
      <c r="X78" s="22"/>
      <c r="Y78" s="22"/>
      <c r="Z78" s="22"/>
      <c r="AA78" s="128"/>
      <c r="AB78" s="21"/>
      <c r="AC78" s="53"/>
      <c r="AF78" s="23"/>
      <c r="AG78" s="24"/>
      <c r="AH78" s="25"/>
      <c r="AI78" s="25"/>
      <c r="AJ78" s="25"/>
      <c r="AK78" s="25"/>
    </row>
    <row r="79" spans="1:61" s="15" customFormat="1">
      <c r="E79" s="41"/>
      <c r="H79" s="21"/>
      <c r="I79" s="22"/>
      <c r="J79" s="22"/>
      <c r="K79" s="22"/>
      <c r="L79" s="22"/>
      <c r="M79" s="22"/>
      <c r="N79" s="22"/>
      <c r="O79" s="22"/>
      <c r="P79" s="22"/>
      <c r="Q79" s="333"/>
      <c r="R79" s="333"/>
      <c r="S79" s="22"/>
      <c r="T79" s="22"/>
      <c r="U79" s="22"/>
      <c r="V79" s="22"/>
      <c r="W79" s="22"/>
      <c r="X79" s="22"/>
      <c r="Y79" s="22"/>
      <c r="Z79" s="22"/>
      <c r="AA79" s="128"/>
      <c r="AB79" s="21"/>
      <c r="AC79" s="53"/>
      <c r="AF79" s="23"/>
      <c r="AG79" s="24"/>
      <c r="AH79" s="25"/>
      <c r="AI79" s="25"/>
      <c r="AJ79" s="25"/>
      <c r="AK79" s="25"/>
    </row>
    <row r="80" spans="1:61" s="15" customFormat="1">
      <c r="E80" s="41"/>
      <c r="H80" s="21"/>
      <c r="I80" s="22"/>
      <c r="J80" s="22"/>
      <c r="K80" s="22"/>
      <c r="L80" s="22"/>
      <c r="M80" s="22"/>
      <c r="N80" s="22"/>
      <c r="O80" s="22"/>
      <c r="P80" s="22"/>
      <c r="Q80" s="333"/>
      <c r="R80" s="333"/>
      <c r="S80" s="22"/>
      <c r="T80" s="22"/>
      <c r="U80" s="22"/>
      <c r="V80" s="22"/>
      <c r="W80" s="22"/>
      <c r="X80" s="22"/>
      <c r="Y80" s="22"/>
      <c r="Z80" s="22"/>
      <c r="AA80" s="128"/>
      <c r="AB80" s="21"/>
      <c r="AC80" s="53"/>
      <c r="AF80" s="23"/>
      <c r="AG80" s="24"/>
      <c r="AH80" s="25"/>
      <c r="AI80" s="25"/>
      <c r="AJ80" s="25"/>
      <c r="AK80" s="25"/>
    </row>
    <row r="81" spans="1:37">
      <c r="E81" s="41"/>
      <c r="F81" s="15"/>
      <c r="G81" s="15"/>
      <c r="H81" s="21"/>
      <c r="I81" s="22"/>
      <c r="J81" s="22"/>
      <c r="K81" s="22"/>
      <c r="L81" s="22"/>
      <c r="M81" s="22"/>
      <c r="N81" s="22"/>
      <c r="O81" s="22"/>
      <c r="P81" s="22"/>
      <c r="S81" s="22"/>
      <c r="T81" s="22"/>
      <c r="U81" s="22"/>
      <c r="V81" s="22"/>
      <c r="W81" s="22"/>
      <c r="X81" s="22"/>
      <c r="Y81" s="22"/>
      <c r="Z81" s="22"/>
      <c r="AA81" s="128"/>
      <c r="AB81" s="21"/>
      <c r="AC81" s="53"/>
      <c r="AD81" s="15"/>
    </row>
    <row r="82" spans="1:37">
      <c r="E82" s="41"/>
      <c r="F82" s="15"/>
      <c r="G82" s="15"/>
      <c r="H82" s="21"/>
      <c r="I82" s="22"/>
      <c r="J82" s="22"/>
      <c r="K82" s="22"/>
      <c r="L82" s="22"/>
      <c r="M82" s="22"/>
      <c r="N82" s="22"/>
      <c r="O82" s="22"/>
      <c r="P82" s="22"/>
      <c r="S82" s="22"/>
      <c r="T82" s="22"/>
      <c r="U82" s="22"/>
      <c r="V82" s="22"/>
      <c r="W82" s="22"/>
      <c r="X82" s="22"/>
      <c r="Y82" s="22"/>
      <c r="Z82" s="22"/>
      <c r="AA82" s="128"/>
      <c r="AB82" s="21"/>
      <c r="AC82" s="53"/>
      <c r="AD82" s="15"/>
    </row>
    <row r="83" spans="1:37">
      <c r="E83" s="41"/>
      <c r="F83" s="15"/>
      <c r="G83" s="15"/>
      <c r="H83" s="21"/>
      <c r="I83" s="22"/>
      <c r="J83" s="22"/>
      <c r="K83" s="22"/>
      <c r="L83" s="22"/>
      <c r="M83" s="22"/>
      <c r="N83" s="22"/>
      <c r="O83" s="22"/>
      <c r="P83" s="22"/>
      <c r="S83" s="22"/>
      <c r="T83" s="22"/>
      <c r="U83" s="22"/>
      <c r="V83" s="22"/>
      <c r="W83" s="22"/>
      <c r="X83" s="22"/>
      <c r="Y83" s="22"/>
      <c r="Z83" s="22"/>
      <c r="AA83" s="128"/>
      <c r="AB83" s="21"/>
      <c r="AC83" s="53"/>
      <c r="AD83" s="15"/>
    </row>
    <row r="84" spans="1:37">
      <c r="E84" s="41"/>
      <c r="F84" s="15"/>
      <c r="G84" s="15"/>
      <c r="H84" s="21"/>
      <c r="I84" s="22"/>
      <c r="J84" s="22"/>
      <c r="K84" s="22"/>
      <c r="L84" s="22"/>
      <c r="M84" s="22"/>
      <c r="N84" s="22"/>
      <c r="O84" s="22"/>
      <c r="P84" s="22"/>
      <c r="S84" s="22"/>
      <c r="T84" s="22"/>
      <c r="U84" s="22"/>
      <c r="V84" s="22"/>
      <c r="W84" s="22"/>
      <c r="X84" s="22"/>
      <c r="Y84" s="22"/>
      <c r="Z84" s="22"/>
      <c r="AA84" s="128"/>
      <c r="AB84" s="21"/>
      <c r="AC84" s="53"/>
      <c r="AD84" s="15"/>
    </row>
    <row r="85" spans="1:37">
      <c r="E85" s="41"/>
      <c r="F85" s="15"/>
      <c r="G85" s="15"/>
      <c r="H85" s="15"/>
      <c r="I85" s="22"/>
      <c r="J85" s="15"/>
      <c r="K85" s="15"/>
      <c r="L85" s="15"/>
      <c r="M85" s="15"/>
      <c r="N85" s="15"/>
      <c r="O85" s="15"/>
      <c r="P85" s="15"/>
      <c r="Q85" s="334"/>
      <c r="R85" s="334"/>
      <c r="S85" s="15"/>
      <c r="T85" s="21"/>
      <c r="U85" s="22"/>
      <c r="V85" s="22"/>
      <c r="W85" s="22"/>
      <c r="X85" s="22"/>
      <c r="Y85" s="22"/>
      <c r="Z85" s="22"/>
      <c r="AA85" s="128"/>
      <c r="AB85" s="21"/>
      <c r="AC85" s="53"/>
      <c r="AD85" s="15"/>
    </row>
    <row r="86" spans="1:37">
      <c r="E86" s="41"/>
      <c r="F86" s="15"/>
      <c r="G86" s="15"/>
      <c r="H86" s="696" t="s">
        <v>36</v>
      </c>
      <c r="I86" s="696"/>
      <c r="J86" s="26"/>
      <c r="K86" s="27" t="s">
        <v>37</v>
      </c>
      <c r="L86" s="27"/>
      <c r="M86" s="26" t="s">
        <v>38</v>
      </c>
      <c r="N86" s="28" t="s">
        <v>25</v>
      </c>
      <c r="O86" s="28"/>
      <c r="P86" s="28"/>
      <c r="Q86" s="335"/>
      <c r="R86" s="335"/>
      <c r="S86" s="26"/>
      <c r="T86" s="15"/>
      <c r="U86" s="15"/>
      <c r="V86" s="15"/>
      <c r="W86" s="15"/>
      <c r="X86" s="15"/>
      <c r="Y86" s="15"/>
      <c r="Z86" s="15"/>
      <c r="AA86" s="128"/>
      <c r="AB86" s="21"/>
      <c r="AC86" s="53"/>
      <c r="AD86" s="15"/>
    </row>
    <row r="87" spans="1:37">
      <c r="E87" s="41"/>
      <c r="F87" s="15"/>
      <c r="G87" s="29" t="e">
        <f>#REF!</f>
        <v>#REF!</v>
      </c>
      <c r="H87" s="672">
        <v>19695.439999999999</v>
      </c>
      <c r="I87" s="672"/>
      <c r="J87" s="30"/>
      <c r="K87" s="31" t="e">
        <f>PMT(15%/12,36,#REF!)*-1</f>
        <v>#REF!</v>
      </c>
      <c r="L87" s="31"/>
      <c r="M87" s="22">
        <v>2000</v>
      </c>
      <c r="N87" s="31" t="e">
        <f>+H87-#REF!+K87-M87</f>
        <v>#REF!</v>
      </c>
      <c r="O87" s="31"/>
      <c r="P87" s="31"/>
      <c r="Q87" s="336"/>
      <c r="R87" s="336"/>
      <c r="S87" s="30"/>
      <c r="T87" s="15"/>
      <c r="U87" s="15"/>
      <c r="V87" s="15"/>
      <c r="W87" s="15"/>
      <c r="X87" s="15"/>
      <c r="Y87" s="15"/>
      <c r="Z87" s="15"/>
      <c r="AA87" s="128"/>
      <c r="AB87" s="21"/>
      <c r="AC87" s="53"/>
      <c r="AD87" s="15"/>
    </row>
    <row r="88" spans="1:37">
      <c r="E88" s="41"/>
      <c r="F88" s="15"/>
      <c r="G88" s="29">
        <f>F15</f>
        <v>0</v>
      </c>
      <c r="H88" s="672">
        <v>17019.8</v>
      </c>
      <c r="I88" s="672"/>
      <c r="J88" s="30"/>
      <c r="K88" s="31">
        <f>PMT(15%/12,36,V15)*-1</f>
        <v>0</v>
      </c>
      <c r="L88" s="31"/>
      <c r="M88" s="22">
        <v>2000</v>
      </c>
      <c r="N88" s="31" t="e">
        <f>+H88-#REF!+K88-M88</f>
        <v>#REF!</v>
      </c>
      <c r="O88" s="31"/>
      <c r="P88" s="31"/>
      <c r="Q88" s="336"/>
      <c r="R88" s="336"/>
      <c r="S88" s="30"/>
      <c r="T88" s="15"/>
      <c r="U88" s="15"/>
      <c r="V88" s="15"/>
      <c r="W88" s="15"/>
      <c r="X88" s="15"/>
      <c r="Y88" s="15"/>
      <c r="Z88" s="15"/>
      <c r="AA88" s="128"/>
      <c r="AB88" s="21"/>
      <c r="AC88" s="53"/>
      <c r="AD88" s="15"/>
    </row>
    <row r="89" spans="1:37">
      <c r="E89" s="41"/>
      <c r="F89" s="15"/>
      <c r="G89" s="29" t="e">
        <f>#REF!</f>
        <v>#REF!</v>
      </c>
      <c r="H89" s="672">
        <v>8531.3700000000008</v>
      </c>
      <c r="I89" s="672"/>
      <c r="J89" s="30"/>
      <c r="K89" s="31" t="e">
        <f>PMT(15%/12,36,#REF!)*-1</f>
        <v>#REF!</v>
      </c>
      <c r="L89" s="31"/>
      <c r="M89" s="22">
        <v>2000</v>
      </c>
      <c r="N89" s="31" t="e">
        <f>+H89-#REF!+K89-M89</f>
        <v>#REF!</v>
      </c>
      <c r="O89" s="31"/>
      <c r="P89" s="31"/>
      <c r="Q89" s="336"/>
      <c r="R89" s="336"/>
      <c r="S89" s="30"/>
      <c r="T89" s="15"/>
      <c r="U89" s="15"/>
      <c r="V89" s="15"/>
      <c r="W89" s="15"/>
      <c r="X89" s="15"/>
      <c r="Y89" s="15"/>
      <c r="Z89" s="15"/>
      <c r="AA89" s="128"/>
      <c r="AB89" s="21"/>
      <c r="AC89" s="53"/>
      <c r="AD89" s="15"/>
    </row>
    <row r="90" spans="1:37">
      <c r="E90" s="41"/>
      <c r="F90" s="15"/>
      <c r="G90" s="29" t="e">
        <f>#REF!</f>
        <v>#REF!</v>
      </c>
      <c r="H90" s="672">
        <v>3677.8</v>
      </c>
      <c r="I90" s="672"/>
      <c r="J90" s="30"/>
      <c r="K90" s="31" t="e">
        <f>PMT(15%/12,36,#REF!)*-1</f>
        <v>#REF!</v>
      </c>
      <c r="L90" s="31"/>
      <c r="M90" s="22">
        <v>2000</v>
      </c>
      <c r="N90" s="31" t="e">
        <f>+H90-#REF!+K90-M90</f>
        <v>#REF!</v>
      </c>
      <c r="O90" s="31"/>
      <c r="P90" s="31"/>
      <c r="Q90" s="336"/>
      <c r="R90" s="336"/>
      <c r="S90" s="30"/>
      <c r="T90" s="15"/>
      <c r="U90" s="15"/>
      <c r="V90" s="15"/>
      <c r="W90" s="15"/>
      <c r="X90" s="15"/>
      <c r="Y90" s="15"/>
      <c r="Z90" s="15"/>
      <c r="AA90" s="128"/>
      <c r="AB90" s="21"/>
      <c r="AC90" s="53"/>
      <c r="AD90" s="15"/>
    </row>
    <row r="91" spans="1:37" s="21" customFormat="1">
      <c r="A91" s="15"/>
      <c r="B91" s="15"/>
      <c r="C91" s="15"/>
      <c r="D91" s="15"/>
      <c r="E91" s="41"/>
      <c r="F91" s="15"/>
      <c r="G91" s="29">
        <f>F18</f>
        <v>0</v>
      </c>
      <c r="H91" s="672">
        <v>9762.1299999999992</v>
      </c>
      <c r="I91" s="672"/>
      <c r="J91" s="30"/>
      <c r="K91" s="31" t="e">
        <f>PMT(15%/12,36,V18)*-1</f>
        <v>#VALUE!</v>
      </c>
      <c r="L91" s="31"/>
      <c r="M91" s="22">
        <v>2000</v>
      </c>
      <c r="N91" s="31" t="e">
        <f>+H91-#REF!+K91-M91</f>
        <v>#REF!</v>
      </c>
      <c r="O91" s="31"/>
      <c r="P91" s="31"/>
      <c r="Q91" s="336"/>
      <c r="R91" s="336"/>
      <c r="S91" s="30"/>
      <c r="T91" s="15"/>
      <c r="U91" s="15"/>
      <c r="V91" s="15"/>
      <c r="W91" s="15"/>
      <c r="X91" s="15"/>
      <c r="Y91" s="15"/>
      <c r="Z91" s="15"/>
      <c r="AA91" s="128"/>
      <c r="AC91" s="53"/>
      <c r="AD91" s="15"/>
      <c r="AF91" s="32"/>
      <c r="AG91" s="33"/>
      <c r="AH91" s="34"/>
      <c r="AI91" s="34"/>
      <c r="AJ91" s="34"/>
      <c r="AK91" s="34"/>
    </row>
    <row r="92" spans="1:37" s="21" customFormat="1">
      <c r="A92" s="15"/>
      <c r="B92" s="15"/>
      <c r="C92" s="15"/>
      <c r="D92" s="15"/>
      <c r="E92" s="41"/>
      <c r="F92" s="15"/>
      <c r="G92" s="29" t="e">
        <f>#REF!</f>
        <v>#REF!</v>
      </c>
      <c r="H92" s="672">
        <v>8459.17</v>
      </c>
      <c r="I92" s="672"/>
      <c r="J92" s="30"/>
      <c r="K92" s="31" t="e">
        <f>PMT(15%/12,36,#REF!)*-1</f>
        <v>#REF!</v>
      </c>
      <c r="L92" s="31"/>
      <c r="M92" s="22">
        <v>2000</v>
      </c>
      <c r="N92" s="31" t="e">
        <f>+H92-#REF!+K92-M92</f>
        <v>#REF!</v>
      </c>
      <c r="O92" s="31"/>
      <c r="P92" s="31"/>
      <c r="Q92" s="336"/>
      <c r="R92" s="336"/>
      <c r="S92" s="30"/>
      <c r="T92" s="15"/>
      <c r="U92" s="15"/>
      <c r="V92" s="15"/>
      <c r="W92" s="15"/>
      <c r="X92" s="15"/>
      <c r="Y92" s="15"/>
      <c r="Z92" s="15"/>
      <c r="AA92" s="128"/>
      <c r="AC92" s="53"/>
      <c r="AD92" s="15"/>
      <c r="AF92" s="32"/>
      <c r="AG92" s="33"/>
      <c r="AH92" s="34"/>
      <c r="AI92" s="34"/>
      <c r="AJ92" s="34"/>
      <c r="AK92" s="34"/>
    </row>
    <row r="93" spans="1:37" s="21" customFormat="1">
      <c r="A93" s="15"/>
      <c r="B93" s="15"/>
      <c r="C93" s="15"/>
      <c r="D93" s="15"/>
      <c r="E93" s="41"/>
      <c r="F93" s="15"/>
      <c r="G93" s="29" t="e">
        <f>#REF!</f>
        <v>#REF!</v>
      </c>
      <c r="H93" s="672">
        <v>9161.5300000000007</v>
      </c>
      <c r="I93" s="672"/>
      <c r="J93" s="30"/>
      <c r="K93" s="31" t="e">
        <f>PMT(15%/12,36,#REF!)*-1</f>
        <v>#REF!</v>
      </c>
      <c r="L93" s="31"/>
      <c r="M93" s="22">
        <v>2000</v>
      </c>
      <c r="N93" s="31" t="e">
        <f>+H93-#REF!+K93-M93</f>
        <v>#REF!</v>
      </c>
      <c r="O93" s="31"/>
      <c r="P93" s="31"/>
      <c r="Q93" s="336"/>
      <c r="R93" s="336"/>
      <c r="S93" s="30"/>
      <c r="T93" s="15"/>
      <c r="U93" s="15"/>
      <c r="V93" s="15"/>
      <c r="W93" s="15"/>
      <c r="X93" s="15"/>
      <c r="Y93" s="15"/>
      <c r="Z93" s="15"/>
      <c r="AA93" s="128"/>
      <c r="AC93" s="53"/>
      <c r="AD93" s="15"/>
      <c r="AF93" s="32"/>
      <c r="AG93" s="33"/>
      <c r="AH93" s="34"/>
      <c r="AI93" s="34"/>
      <c r="AJ93" s="34"/>
      <c r="AK93" s="34"/>
    </row>
    <row r="94" spans="1:37" s="21" customFormat="1">
      <c r="A94" s="15"/>
      <c r="B94" s="15"/>
      <c r="C94" s="15"/>
      <c r="D94" s="15"/>
      <c r="E94" s="41"/>
      <c r="F94" s="15"/>
      <c r="G94" s="29" t="e">
        <f>#REF!</f>
        <v>#REF!</v>
      </c>
      <c r="H94" s="672">
        <v>3937.24</v>
      </c>
      <c r="I94" s="672"/>
      <c r="J94" s="30"/>
      <c r="K94" s="31" t="e">
        <f>PMT(15%/12,36,#REF!)*-1</f>
        <v>#REF!</v>
      </c>
      <c r="L94" s="31"/>
      <c r="M94" s="22">
        <v>2000</v>
      </c>
      <c r="N94" s="31" t="e">
        <f>+H94-#REF!+K94-M94</f>
        <v>#REF!</v>
      </c>
      <c r="O94" s="31"/>
      <c r="P94" s="31"/>
      <c r="Q94" s="336"/>
      <c r="R94" s="336"/>
      <c r="S94" s="30"/>
      <c r="T94" s="15"/>
      <c r="U94" s="15"/>
      <c r="V94" s="15"/>
      <c r="W94" s="15"/>
      <c r="X94" s="15"/>
      <c r="Y94" s="15"/>
      <c r="Z94" s="15"/>
      <c r="AA94" s="128"/>
      <c r="AC94" s="53"/>
      <c r="AD94" s="15"/>
      <c r="AF94" s="32"/>
      <c r="AG94" s="33"/>
      <c r="AH94" s="34"/>
      <c r="AI94" s="34"/>
      <c r="AJ94" s="34"/>
      <c r="AK94" s="34"/>
    </row>
    <row r="95" spans="1:37" s="21" customFormat="1">
      <c r="A95" s="15"/>
      <c r="B95" s="15"/>
      <c r="C95" s="15"/>
      <c r="D95" s="15"/>
      <c r="E95" s="41"/>
      <c r="F95" s="15"/>
      <c r="G95" s="29" t="e">
        <f>#REF!</f>
        <v>#REF!</v>
      </c>
      <c r="H95" s="672">
        <v>9376.5499999999993</v>
      </c>
      <c r="I95" s="672"/>
      <c r="J95" s="30"/>
      <c r="K95" s="31" t="e">
        <f>PMT(15%/12,36,#REF!)*-1</f>
        <v>#REF!</v>
      </c>
      <c r="L95" s="31"/>
      <c r="M95" s="22">
        <v>2000</v>
      </c>
      <c r="N95" s="31" t="e">
        <f>+H95-#REF!+K95-M95</f>
        <v>#REF!</v>
      </c>
      <c r="O95" s="31"/>
      <c r="P95" s="31"/>
      <c r="Q95" s="336"/>
      <c r="R95" s="336"/>
      <c r="S95" s="30"/>
      <c r="T95" s="15"/>
      <c r="U95" s="15"/>
      <c r="V95" s="15"/>
      <c r="W95" s="15"/>
      <c r="X95" s="15"/>
      <c r="Y95" s="15"/>
      <c r="Z95" s="15"/>
      <c r="AA95" s="128"/>
      <c r="AC95" s="53"/>
      <c r="AD95" s="15"/>
      <c r="AF95" s="32"/>
      <c r="AG95" s="33"/>
      <c r="AH95" s="34"/>
      <c r="AI95" s="34"/>
      <c r="AJ95" s="34"/>
      <c r="AK95" s="34"/>
    </row>
    <row r="96" spans="1:37" s="21" customFormat="1">
      <c r="A96" s="15"/>
      <c r="B96" s="15"/>
      <c r="C96" s="15"/>
      <c r="D96" s="15"/>
      <c r="E96" s="41"/>
      <c r="F96" s="15"/>
      <c r="G96" s="29" t="e">
        <f>#REF!</f>
        <v>#REF!</v>
      </c>
      <c r="H96" s="672">
        <v>8999.56</v>
      </c>
      <c r="I96" s="672"/>
      <c r="J96" s="30"/>
      <c r="K96" s="31" t="e">
        <f>PMT(15%/12,36,#REF!)*-1</f>
        <v>#REF!</v>
      </c>
      <c r="L96" s="31"/>
      <c r="M96" s="22">
        <v>2000</v>
      </c>
      <c r="N96" s="31" t="e">
        <f>+H96-#REF!+K96-M96</f>
        <v>#REF!</v>
      </c>
      <c r="O96" s="31"/>
      <c r="P96" s="31"/>
      <c r="Q96" s="336"/>
      <c r="R96" s="336"/>
      <c r="S96" s="30"/>
      <c r="T96" s="15"/>
      <c r="U96" s="15"/>
      <c r="V96" s="15"/>
      <c r="W96" s="15"/>
      <c r="X96" s="15"/>
      <c r="Y96" s="15"/>
      <c r="Z96" s="15"/>
      <c r="AA96" s="128"/>
      <c r="AC96" s="53"/>
      <c r="AD96" s="15"/>
      <c r="AF96" s="32"/>
      <c r="AG96" s="33"/>
      <c r="AH96" s="34"/>
      <c r="AI96" s="34"/>
      <c r="AJ96" s="34"/>
      <c r="AK96" s="34"/>
    </row>
    <row r="97" spans="1:37" s="21" customFormat="1">
      <c r="A97" s="15"/>
      <c r="B97" s="15"/>
      <c r="C97" s="15"/>
      <c r="D97" s="15"/>
      <c r="E97" s="41"/>
      <c r="F97" s="15"/>
      <c r="G97" s="15"/>
      <c r="H97" s="672"/>
      <c r="I97" s="672"/>
      <c r="J97" s="22"/>
      <c r="K97" s="22"/>
      <c r="L97" s="22"/>
      <c r="M97" s="22"/>
      <c r="N97" s="22"/>
      <c r="O97" s="22"/>
      <c r="P97" s="22"/>
      <c r="Q97" s="333"/>
      <c r="R97" s="333"/>
      <c r="S97" s="22"/>
      <c r="T97" s="22"/>
      <c r="U97" s="22"/>
      <c r="V97" s="22"/>
      <c r="W97" s="22"/>
      <c r="X97" s="22"/>
      <c r="Y97" s="22"/>
      <c r="Z97" s="22"/>
      <c r="AA97" s="128"/>
      <c r="AC97" s="53"/>
      <c r="AD97" s="15"/>
      <c r="AF97" s="32"/>
      <c r="AG97" s="33"/>
      <c r="AH97" s="34"/>
      <c r="AI97" s="34"/>
      <c r="AJ97" s="34"/>
      <c r="AK97" s="34"/>
    </row>
    <row r="98" spans="1:37" s="21" customFormat="1">
      <c r="A98" s="15"/>
      <c r="B98" s="15"/>
      <c r="C98" s="15"/>
      <c r="D98" s="15"/>
      <c r="E98" s="41"/>
      <c r="F98" s="15"/>
      <c r="G98" s="15"/>
      <c r="I98" s="22"/>
      <c r="J98" s="22"/>
      <c r="K98" s="22"/>
      <c r="L98" s="22"/>
      <c r="M98" s="22"/>
      <c r="N98" s="22"/>
      <c r="O98" s="22"/>
      <c r="P98" s="22"/>
      <c r="Q98" s="333"/>
      <c r="R98" s="333"/>
      <c r="S98" s="22"/>
      <c r="T98" s="22"/>
      <c r="U98" s="22"/>
      <c r="V98" s="22"/>
      <c r="W98" s="22"/>
      <c r="X98" s="22"/>
      <c r="Y98" s="22"/>
      <c r="Z98" s="22"/>
      <c r="AA98" s="128"/>
      <c r="AC98" s="53"/>
      <c r="AD98" s="15"/>
      <c r="AF98" s="32"/>
      <c r="AG98" s="33"/>
      <c r="AH98" s="34"/>
      <c r="AI98" s="34"/>
      <c r="AJ98" s="34"/>
      <c r="AK98" s="34"/>
    </row>
    <row r="99" spans="1:37" s="21" customFormat="1">
      <c r="A99" s="15"/>
      <c r="B99" s="15"/>
      <c r="C99" s="15"/>
      <c r="D99" s="15"/>
      <c r="E99" s="41"/>
      <c r="F99" s="15"/>
      <c r="G99" s="15"/>
      <c r="I99" s="22"/>
      <c r="J99" s="22"/>
      <c r="K99" s="22"/>
      <c r="L99" s="22"/>
      <c r="M99" s="22"/>
      <c r="N99" s="22"/>
      <c r="O99" s="22"/>
      <c r="P99" s="22"/>
      <c r="Q99" s="333"/>
      <c r="R99" s="333"/>
      <c r="S99" s="22"/>
      <c r="T99" s="22"/>
      <c r="U99" s="22"/>
      <c r="V99" s="22"/>
      <c r="W99" s="22"/>
      <c r="X99" s="22"/>
      <c r="Y99" s="22"/>
      <c r="Z99" s="22"/>
      <c r="AA99" s="128"/>
      <c r="AC99" s="53"/>
      <c r="AD99" s="15"/>
      <c r="AF99" s="32"/>
      <c r="AG99" s="33"/>
      <c r="AH99" s="34"/>
      <c r="AI99" s="34"/>
      <c r="AJ99" s="34"/>
      <c r="AK99" s="34"/>
    </row>
    <row r="100" spans="1:37" s="21" customFormat="1">
      <c r="A100" s="15"/>
      <c r="B100" s="15"/>
      <c r="C100" s="15"/>
      <c r="D100" s="15"/>
      <c r="E100" s="41"/>
      <c r="F100" s="15"/>
      <c r="G100" s="15"/>
      <c r="I100" s="22"/>
      <c r="J100" s="22"/>
      <c r="K100" s="22"/>
      <c r="L100" s="22"/>
      <c r="M100" s="22"/>
      <c r="N100" s="22"/>
      <c r="O100" s="22"/>
      <c r="P100" s="22"/>
      <c r="Q100" s="333"/>
      <c r="R100" s="333"/>
      <c r="S100" s="22"/>
      <c r="T100" s="22"/>
      <c r="U100" s="22"/>
      <c r="V100" s="22"/>
      <c r="W100" s="22"/>
      <c r="X100" s="22"/>
      <c r="Y100" s="22"/>
      <c r="Z100" s="22"/>
      <c r="AA100" s="128"/>
      <c r="AC100" s="53"/>
      <c r="AD100" s="15"/>
      <c r="AF100" s="32"/>
      <c r="AG100" s="33"/>
      <c r="AH100" s="34"/>
      <c r="AI100" s="34"/>
      <c r="AJ100" s="34"/>
      <c r="AK100" s="34"/>
    </row>
    <row r="101" spans="1:37" s="21" customFormat="1">
      <c r="A101" s="15"/>
      <c r="B101" s="15"/>
      <c r="C101" s="15"/>
      <c r="D101" s="15"/>
      <c r="E101" s="41"/>
      <c r="F101" s="15"/>
      <c r="G101" s="15"/>
      <c r="I101" s="22"/>
      <c r="J101" s="22"/>
      <c r="K101" s="22"/>
      <c r="L101" s="22"/>
      <c r="M101" s="22"/>
      <c r="N101" s="22"/>
      <c r="O101" s="22"/>
      <c r="P101" s="22"/>
      <c r="Q101" s="333"/>
      <c r="R101" s="333"/>
      <c r="S101" s="22"/>
      <c r="T101" s="22"/>
      <c r="U101" s="22"/>
      <c r="V101" s="22"/>
      <c r="W101" s="22"/>
      <c r="X101" s="22"/>
      <c r="Y101" s="22"/>
      <c r="Z101" s="22"/>
      <c r="AA101" s="128"/>
      <c r="AC101" s="53"/>
      <c r="AD101" s="15"/>
      <c r="AF101" s="32"/>
      <c r="AG101" s="33"/>
      <c r="AH101" s="34"/>
      <c r="AI101" s="34"/>
      <c r="AJ101" s="34"/>
      <c r="AK101" s="34"/>
    </row>
    <row r="102" spans="1:37">
      <c r="E102" s="41"/>
      <c r="F102" s="15"/>
      <c r="G102" s="15"/>
      <c r="H102" s="21"/>
      <c r="I102" s="22"/>
      <c r="J102" s="22"/>
      <c r="K102" s="22"/>
      <c r="L102" s="22"/>
      <c r="M102" s="22"/>
      <c r="N102" s="22"/>
      <c r="O102" s="22"/>
      <c r="P102" s="22"/>
      <c r="S102" s="22"/>
      <c r="T102" s="22"/>
      <c r="U102" s="22"/>
      <c r="V102" s="22"/>
      <c r="W102" s="22"/>
      <c r="X102" s="22"/>
      <c r="Y102" s="22"/>
      <c r="Z102" s="22"/>
      <c r="AA102" s="128"/>
      <c r="AB102" s="21"/>
      <c r="AC102" s="53"/>
      <c r="AD102" s="15"/>
    </row>
    <row r="103" spans="1:37">
      <c r="E103" s="41"/>
      <c r="F103" s="15"/>
      <c r="G103" s="15"/>
      <c r="H103" s="21"/>
      <c r="I103" s="22"/>
      <c r="J103" s="22"/>
      <c r="K103" s="22"/>
      <c r="L103" s="22"/>
      <c r="M103" s="22"/>
      <c r="N103" s="22"/>
      <c r="O103" s="22"/>
      <c r="P103" s="22"/>
      <c r="S103" s="22"/>
      <c r="T103" s="22"/>
      <c r="U103" s="22"/>
      <c r="V103" s="22"/>
      <c r="W103" s="22"/>
      <c r="X103" s="22"/>
      <c r="Y103" s="22"/>
      <c r="Z103" s="22"/>
      <c r="AA103" s="128"/>
      <c r="AB103" s="21"/>
      <c r="AC103" s="53"/>
      <c r="AD103" s="15"/>
    </row>
    <row r="104" spans="1:37">
      <c r="E104" s="41"/>
      <c r="F104" s="15"/>
      <c r="G104" s="21"/>
      <c r="H104" s="21"/>
      <c r="I104" s="35"/>
      <c r="J104" s="35"/>
      <c r="K104" s="35"/>
      <c r="L104" s="35"/>
      <c r="M104" s="35"/>
      <c r="N104" s="35"/>
      <c r="O104" s="35"/>
      <c r="P104" s="35"/>
      <c r="Q104" s="337"/>
      <c r="R104" s="337"/>
      <c r="S104" s="35"/>
      <c r="T104" s="28"/>
      <c r="U104" s="35"/>
      <c r="V104" s="35"/>
      <c r="W104" s="35"/>
      <c r="X104" s="35"/>
      <c r="Y104" s="35"/>
      <c r="Z104" s="35"/>
      <c r="AA104" s="129"/>
      <c r="AB104" s="111"/>
      <c r="AC104" s="53"/>
      <c r="AD104" s="15"/>
    </row>
    <row r="105" spans="1:37">
      <c r="E105" s="41"/>
      <c r="F105" s="15"/>
      <c r="G105" s="29"/>
      <c r="H105" s="36"/>
      <c r="I105" s="37"/>
      <c r="J105" s="22"/>
      <c r="K105" s="22"/>
      <c r="L105" s="22"/>
      <c r="M105" s="22"/>
      <c r="N105" s="22"/>
      <c r="O105" s="22"/>
      <c r="P105" s="22"/>
      <c r="S105" s="22"/>
      <c r="T105" s="22"/>
      <c r="U105" s="22"/>
      <c r="V105" s="22"/>
      <c r="W105" s="22"/>
      <c r="X105" s="22"/>
      <c r="Y105" s="22"/>
      <c r="Z105" s="22"/>
      <c r="AA105" s="130"/>
      <c r="AB105" s="112"/>
      <c r="AC105" s="53"/>
      <c r="AD105" s="15"/>
    </row>
    <row r="106" spans="1:37">
      <c r="E106" s="41"/>
      <c r="F106" s="15"/>
      <c r="G106" s="29"/>
      <c r="H106" s="36"/>
      <c r="I106" s="37"/>
      <c r="J106" s="22"/>
      <c r="K106" s="22"/>
      <c r="L106" s="22"/>
      <c r="M106" s="22"/>
      <c r="N106" s="22"/>
      <c r="O106" s="22"/>
      <c r="P106" s="22"/>
      <c r="S106" s="22"/>
      <c r="T106" s="22"/>
      <c r="U106" s="22"/>
      <c r="V106" s="22"/>
      <c r="W106" s="22"/>
      <c r="X106" s="22"/>
      <c r="Y106" s="22"/>
      <c r="Z106" s="22"/>
      <c r="AA106" s="130"/>
      <c r="AB106" s="112"/>
      <c r="AC106" s="53"/>
      <c r="AD106" s="15"/>
    </row>
    <row r="107" spans="1:37">
      <c r="E107" s="41"/>
      <c r="F107" s="15"/>
      <c r="G107" s="29"/>
      <c r="H107" s="36"/>
      <c r="I107" s="37"/>
      <c r="J107" s="22"/>
      <c r="K107" s="22"/>
      <c r="L107" s="22"/>
      <c r="M107" s="22"/>
      <c r="N107" s="22"/>
      <c r="O107" s="22"/>
      <c r="P107" s="22"/>
      <c r="S107" s="22"/>
      <c r="T107" s="22"/>
      <c r="U107" s="22"/>
      <c r="V107" s="22"/>
      <c r="W107" s="22"/>
      <c r="X107" s="22"/>
      <c r="Y107" s="22"/>
      <c r="Z107" s="22"/>
      <c r="AA107" s="130"/>
      <c r="AB107" s="112"/>
      <c r="AC107" s="53"/>
      <c r="AD107" s="15"/>
    </row>
    <row r="108" spans="1:37">
      <c r="E108" s="41"/>
      <c r="F108" s="15"/>
      <c r="G108" s="29"/>
      <c r="H108" s="36"/>
      <c r="I108" s="37"/>
      <c r="J108" s="22"/>
      <c r="K108" s="22"/>
      <c r="L108" s="22"/>
      <c r="M108" s="22"/>
      <c r="N108" s="22"/>
      <c r="O108" s="22"/>
      <c r="P108" s="22"/>
      <c r="S108" s="22"/>
      <c r="T108" s="22"/>
      <c r="U108" s="22"/>
      <c r="V108" s="22"/>
      <c r="W108" s="22"/>
      <c r="X108" s="22"/>
      <c r="Y108" s="22"/>
      <c r="Z108" s="22"/>
      <c r="AA108" s="130"/>
      <c r="AB108" s="112"/>
      <c r="AC108" s="53"/>
      <c r="AD108" s="15"/>
    </row>
    <row r="109" spans="1:37">
      <c r="E109" s="41"/>
      <c r="F109" s="15"/>
      <c r="G109" s="29"/>
      <c r="H109" s="36"/>
      <c r="I109" s="37"/>
      <c r="J109" s="22"/>
      <c r="K109" s="22"/>
      <c r="L109" s="22"/>
      <c r="M109" s="22"/>
      <c r="N109" s="22"/>
      <c r="O109" s="22"/>
      <c r="P109" s="22"/>
      <c r="S109" s="22"/>
      <c r="T109" s="22"/>
      <c r="U109" s="22"/>
      <c r="V109" s="22"/>
      <c r="W109" s="22"/>
      <c r="X109" s="22"/>
      <c r="Y109" s="22"/>
      <c r="Z109" s="22"/>
      <c r="AA109" s="130"/>
      <c r="AB109" s="112"/>
      <c r="AC109" s="53"/>
      <c r="AD109" s="15"/>
    </row>
    <row r="110" spans="1:37">
      <c r="E110" s="41"/>
      <c r="F110" s="15"/>
      <c r="G110" s="29"/>
      <c r="H110" s="36"/>
      <c r="I110" s="37"/>
      <c r="J110" s="22"/>
      <c r="K110" s="22"/>
      <c r="L110" s="22"/>
      <c r="M110" s="22"/>
      <c r="N110" s="22"/>
      <c r="O110" s="22"/>
      <c r="P110" s="22"/>
      <c r="S110" s="22"/>
      <c r="T110" s="22"/>
      <c r="U110" s="22"/>
      <c r="V110" s="22"/>
      <c r="W110" s="22"/>
      <c r="X110" s="22"/>
      <c r="Y110" s="22"/>
      <c r="Z110" s="22"/>
      <c r="AA110" s="130"/>
      <c r="AB110" s="112"/>
      <c r="AC110" s="53"/>
      <c r="AD110" s="15"/>
    </row>
    <row r="111" spans="1:37">
      <c r="E111" s="41"/>
      <c r="F111" s="15"/>
      <c r="G111" s="29"/>
      <c r="H111" s="36"/>
      <c r="I111" s="37"/>
      <c r="J111" s="22"/>
      <c r="K111" s="22"/>
      <c r="L111" s="22"/>
      <c r="M111" s="22"/>
      <c r="N111" s="22"/>
      <c r="O111" s="22"/>
      <c r="P111" s="22"/>
      <c r="S111" s="22"/>
      <c r="T111" s="22"/>
      <c r="U111" s="22"/>
      <c r="V111" s="22"/>
      <c r="W111" s="22"/>
      <c r="X111" s="22"/>
      <c r="Y111" s="22"/>
      <c r="Z111" s="22"/>
      <c r="AA111" s="130"/>
      <c r="AB111" s="112"/>
      <c r="AC111" s="53"/>
      <c r="AD111" s="15"/>
    </row>
    <row r="112" spans="1:37">
      <c r="E112" s="41"/>
      <c r="F112" s="15"/>
      <c r="G112" s="29"/>
      <c r="H112" s="36"/>
      <c r="I112" s="37"/>
      <c r="J112" s="22"/>
      <c r="K112" s="22"/>
      <c r="L112" s="22"/>
      <c r="M112" s="22"/>
      <c r="N112" s="22"/>
      <c r="O112" s="22"/>
      <c r="P112" s="22"/>
      <c r="S112" s="22"/>
      <c r="T112" s="22"/>
      <c r="U112" s="22"/>
      <c r="V112" s="22"/>
      <c r="W112" s="22"/>
      <c r="X112" s="22"/>
      <c r="Y112" s="22"/>
      <c r="Z112" s="22"/>
      <c r="AA112" s="130"/>
      <c r="AB112" s="112"/>
      <c r="AC112" s="53"/>
      <c r="AD112" s="15"/>
    </row>
    <row r="113" spans="5:30">
      <c r="E113" s="41"/>
      <c r="F113" s="15"/>
      <c r="G113" s="29"/>
      <c r="H113" s="36"/>
      <c r="I113" s="37"/>
      <c r="J113" s="22"/>
      <c r="K113" s="22"/>
      <c r="L113" s="22"/>
      <c r="M113" s="22"/>
      <c r="N113" s="22"/>
      <c r="O113" s="22"/>
      <c r="P113" s="22"/>
      <c r="S113" s="22"/>
      <c r="T113" s="22"/>
      <c r="U113" s="22"/>
      <c r="V113" s="22"/>
      <c r="W113" s="22"/>
      <c r="X113" s="22"/>
      <c r="Y113" s="22"/>
      <c r="Z113" s="22"/>
      <c r="AA113" s="130"/>
      <c r="AB113" s="112"/>
      <c r="AC113" s="53"/>
      <c r="AD113" s="15"/>
    </row>
    <row r="114" spans="5:30">
      <c r="E114" s="41"/>
      <c r="F114" s="15"/>
      <c r="G114" s="29"/>
      <c r="H114" s="36"/>
      <c r="I114" s="37"/>
      <c r="J114" s="22"/>
      <c r="K114" s="22"/>
      <c r="L114" s="22"/>
      <c r="M114" s="22"/>
      <c r="N114" s="22"/>
      <c r="O114" s="22"/>
      <c r="P114" s="22"/>
      <c r="S114" s="22"/>
      <c r="T114" s="22"/>
      <c r="U114" s="22"/>
      <c r="V114" s="22"/>
      <c r="W114" s="22"/>
      <c r="X114" s="22"/>
      <c r="Y114" s="22"/>
      <c r="Z114" s="22"/>
      <c r="AA114" s="130"/>
      <c r="AB114" s="112"/>
      <c r="AC114" s="53"/>
      <c r="AD114" s="15"/>
    </row>
    <row r="115" spans="5:30">
      <c r="E115" s="41"/>
      <c r="F115" s="15"/>
      <c r="G115" s="15"/>
      <c r="H115" s="36"/>
      <c r="I115" s="22"/>
      <c r="J115" s="22"/>
      <c r="K115" s="22"/>
      <c r="L115" s="22"/>
      <c r="M115" s="22"/>
      <c r="N115" s="22"/>
      <c r="O115" s="22"/>
      <c r="P115" s="22"/>
      <c r="S115" s="22"/>
      <c r="T115" s="22"/>
      <c r="U115" s="22"/>
      <c r="V115" s="22"/>
      <c r="W115" s="22"/>
      <c r="X115" s="22"/>
      <c r="Y115" s="22"/>
      <c r="Z115" s="22"/>
      <c r="AA115" s="128"/>
      <c r="AB115" s="21"/>
      <c r="AC115" s="53"/>
      <c r="AD115" s="15"/>
    </row>
    <row r="116" spans="5:30">
      <c r="E116" s="41"/>
      <c r="F116" s="15"/>
      <c r="G116" s="15"/>
      <c r="H116" s="21"/>
      <c r="I116" s="22"/>
      <c r="J116" s="22"/>
      <c r="K116" s="22"/>
      <c r="L116" s="22"/>
      <c r="M116" s="22"/>
      <c r="N116" s="22"/>
      <c r="O116" s="22"/>
      <c r="P116" s="22"/>
      <c r="S116" s="22"/>
      <c r="T116" s="22"/>
      <c r="U116" s="22"/>
      <c r="V116" s="22"/>
      <c r="W116" s="22"/>
      <c r="X116" s="22"/>
      <c r="Y116" s="22"/>
      <c r="Z116" s="22"/>
      <c r="AA116" s="128"/>
      <c r="AB116" s="21"/>
      <c r="AC116" s="53"/>
      <c r="AD116" s="15"/>
    </row>
    <row r="117" spans="5:30">
      <c r="E117" s="41"/>
      <c r="F117" s="15"/>
      <c r="G117" s="15"/>
      <c r="H117" s="21"/>
      <c r="I117" s="22"/>
      <c r="J117" s="38"/>
      <c r="K117" s="38"/>
      <c r="L117" s="38"/>
      <c r="M117" s="38"/>
      <c r="N117" s="38"/>
      <c r="O117" s="38"/>
      <c r="P117" s="38"/>
      <c r="Q117" s="338"/>
      <c r="R117" s="338"/>
      <c r="S117" s="38"/>
      <c r="T117" s="35"/>
      <c r="U117" s="22"/>
      <c r="V117" s="22"/>
      <c r="W117" s="22"/>
      <c r="X117" s="22"/>
      <c r="Y117" s="22"/>
      <c r="Z117" s="22"/>
      <c r="AA117" s="130"/>
      <c r="AB117" s="112"/>
      <c r="AC117" s="53"/>
      <c r="AD117" s="15"/>
    </row>
    <row r="118" spans="5:30">
      <c r="E118" s="41"/>
      <c r="F118" s="15"/>
      <c r="G118" s="15"/>
      <c r="H118" s="21"/>
      <c r="I118" s="22"/>
      <c r="J118" s="38"/>
      <c r="K118" s="38"/>
      <c r="L118" s="38"/>
      <c r="M118" s="38"/>
      <c r="N118" s="38"/>
      <c r="O118" s="38"/>
      <c r="P118" s="38"/>
      <c r="Q118" s="338"/>
      <c r="R118" s="338"/>
      <c r="S118" s="38"/>
      <c r="T118" s="35"/>
      <c r="U118" s="22"/>
      <c r="V118" s="22"/>
      <c r="W118" s="22"/>
      <c r="X118" s="22"/>
      <c r="Y118" s="22"/>
      <c r="Z118" s="22"/>
      <c r="AA118" s="131"/>
      <c r="AB118" s="113"/>
      <c r="AC118" s="53"/>
      <c r="AD118" s="15"/>
    </row>
    <row r="119" spans="5:30">
      <c r="E119" s="41"/>
      <c r="F119" s="15"/>
      <c r="G119" s="15"/>
      <c r="H119" s="21"/>
      <c r="I119" s="22"/>
      <c r="J119" s="38"/>
      <c r="K119" s="38"/>
      <c r="L119" s="38"/>
      <c r="M119" s="38"/>
      <c r="N119" s="38"/>
      <c r="O119" s="38"/>
      <c r="P119" s="38"/>
      <c r="Q119" s="338"/>
      <c r="R119" s="338"/>
      <c r="S119" s="38"/>
      <c r="T119" s="35"/>
      <c r="U119" s="22"/>
      <c r="V119" s="22"/>
      <c r="W119" s="22"/>
      <c r="X119" s="22"/>
      <c r="Y119" s="22"/>
      <c r="Z119" s="22"/>
      <c r="AA119" s="130"/>
      <c r="AB119" s="112"/>
      <c r="AC119" s="53"/>
      <c r="AD119" s="15"/>
    </row>
    <row r="120" spans="5:30">
      <c r="E120" s="41"/>
      <c r="F120" s="15"/>
      <c r="G120" s="15"/>
      <c r="H120" s="21"/>
      <c r="I120" s="22"/>
      <c r="J120" s="22"/>
      <c r="K120" s="22"/>
      <c r="L120" s="22"/>
      <c r="M120" s="22"/>
      <c r="N120" s="22"/>
      <c r="O120" s="22"/>
      <c r="P120" s="22"/>
      <c r="S120" s="22"/>
      <c r="T120" s="22"/>
      <c r="U120" s="22"/>
      <c r="V120" s="22"/>
      <c r="W120" s="22"/>
      <c r="X120" s="22"/>
      <c r="Y120" s="22"/>
      <c r="Z120" s="22"/>
      <c r="AA120" s="129"/>
      <c r="AB120" s="111"/>
      <c r="AC120" s="53"/>
      <c r="AD120" s="15"/>
    </row>
    <row r="121" spans="5:30">
      <c r="E121" s="41"/>
      <c r="F121" s="15"/>
      <c r="G121" s="15"/>
      <c r="H121" s="21"/>
      <c r="I121" s="22"/>
      <c r="J121" s="22"/>
      <c r="K121" s="22"/>
      <c r="L121" s="22"/>
      <c r="M121" s="22"/>
      <c r="N121" s="22"/>
      <c r="O121" s="22"/>
      <c r="P121" s="22"/>
      <c r="S121" s="22"/>
      <c r="T121" s="22"/>
      <c r="U121" s="22"/>
      <c r="V121" s="22"/>
      <c r="W121" s="22"/>
      <c r="X121" s="22"/>
      <c r="Y121" s="22"/>
      <c r="Z121" s="22"/>
      <c r="AA121" s="129"/>
      <c r="AB121" s="111"/>
      <c r="AC121" s="53"/>
      <c r="AD121" s="15"/>
    </row>
    <row r="122" spans="5:30">
      <c r="E122" s="41"/>
      <c r="F122" s="15"/>
      <c r="G122" s="15"/>
      <c r="H122" s="21"/>
      <c r="I122" s="22"/>
      <c r="J122" s="22"/>
      <c r="K122" s="22"/>
      <c r="L122" s="22"/>
      <c r="M122" s="22"/>
      <c r="N122" s="22"/>
      <c r="O122" s="22"/>
      <c r="P122" s="22"/>
      <c r="S122" s="22"/>
      <c r="T122" s="22"/>
      <c r="U122" s="22"/>
      <c r="V122" s="22"/>
      <c r="W122" s="22"/>
      <c r="X122" s="22"/>
      <c r="Y122" s="22"/>
      <c r="Z122" s="22"/>
      <c r="AA122" s="129"/>
      <c r="AB122" s="111"/>
      <c r="AC122" s="53"/>
      <c r="AD122" s="15"/>
    </row>
    <row r="123" spans="5:30">
      <c r="E123" s="41"/>
      <c r="F123" s="15"/>
      <c r="G123" s="15"/>
      <c r="H123" s="21"/>
      <c r="I123" s="22"/>
      <c r="J123" s="22"/>
      <c r="K123" s="22"/>
      <c r="L123" s="22"/>
      <c r="M123" s="22"/>
      <c r="N123" s="22"/>
      <c r="O123" s="22"/>
      <c r="P123" s="22"/>
      <c r="S123" s="22"/>
      <c r="T123" s="22"/>
      <c r="U123" s="22"/>
      <c r="V123" s="22"/>
      <c r="W123" s="22"/>
      <c r="X123" s="22"/>
      <c r="Y123" s="22"/>
      <c r="Z123" s="22"/>
      <c r="AA123" s="129"/>
      <c r="AB123" s="111"/>
      <c r="AC123" s="53"/>
      <c r="AD123" s="15"/>
    </row>
    <row r="124" spans="5:30">
      <c r="E124" s="41"/>
      <c r="F124" s="15"/>
      <c r="G124" s="15"/>
      <c r="H124" s="21"/>
      <c r="I124" s="22"/>
      <c r="J124" s="22"/>
      <c r="K124" s="22"/>
      <c r="L124" s="22"/>
      <c r="M124" s="22"/>
      <c r="N124" s="22"/>
      <c r="O124" s="22"/>
      <c r="P124" s="22"/>
      <c r="S124" s="22"/>
      <c r="T124" s="22"/>
      <c r="U124" s="22"/>
      <c r="V124" s="22"/>
      <c r="W124" s="22"/>
      <c r="X124" s="22"/>
      <c r="Y124" s="22"/>
      <c r="Z124" s="22"/>
      <c r="AA124" s="129"/>
      <c r="AB124" s="111"/>
      <c r="AC124" s="53"/>
      <c r="AD124" s="15"/>
    </row>
    <row r="125" spans="5:30">
      <c r="E125" s="41"/>
      <c r="F125" s="15"/>
      <c r="G125" s="15"/>
      <c r="H125" s="21"/>
      <c r="I125" s="22"/>
      <c r="J125" s="22"/>
      <c r="K125" s="22"/>
      <c r="L125" s="22"/>
      <c r="M125" s="22"/>
      <c r="N125" s="22"/>
      <c r="O125" s="22"/>
      <c r="P125" s="22"/>
      <c r="S125" s="22"/>
      <c r="T125" s="22"/>
      <c r="U125" s="22"/>
      <c r="V125" s="22"/>
      <c r="W125" s="22"/>
      <c r="X125" s="22"/>
      <c r="Y125" s="22"/>
      <c r="Z125" s="22"/>
      <c r="AA125" s="129"/>
      <c r="AB125" s="111"/>
      <c r="AC125" s="53"/>
      <c r="AD125" s="15"/>
    </row>
    <row r="126" spans="5:30">
      <c r="E126" s="41"/>
      <c r="F126" s="15"/>
      <c r="G126" s="15"/>
      <c r="H126" s="21"/>
      <c r="I126" s="22"/>
      <c r="J126" s="22"/>
      <c r="K126" s="22"/>
      <c r="L126" s="22"/>
      <c r="M126" s="22"/>
      <c r="N126" s="22"/>
      <c r="O126" s="22"/>
      <c r="P126" s="22"/>
      <c r="S126" s="22"/>
      <c r="T126" s="22"/>
      <c r="U126" s="22"/>
      <c r="V126" s="22"/>
      <c r="W126" s="22"/>
      <c r="X126" s="22"/>
      <c r="Y126" s="22"/>
      <c r="Z126" s="22"/>
      <c r="AA126" s="129"/>
      <c r="AB126" s="111"/>
      <c r="AC126" s="53"/>
      <c r="AD126" s="15"/>
    </row>
    <row r="127" spans="5:30">
      <c r="E127" s="41"/>
      <c r="F127" s="15"/>
      <c r="G127" s="15"/>
      <c r="H127" s="21"/>
      <c r="I127" s="22"/>
      <c r="J127" s="22"/>
      <c r="K127" s="22"/>
      <c r="L127" s="22"/>
      <c r="M127" s="22"/>
      <c r="N127" s="22"/>
      <c r="O127" s="22"/>
      <c r="P127" s="22"/>
      <c r="S127" s="22"/>
      <c r="T127" s="22"/>
      <c r="U127" s="22"/>
      <c r="V127" s="22"/>
      <c r="W127" s="22"/>
      <c r="X127" s="22"/>
      <c r="Y127" s="22"/>
      <c r="Z127" s="22"/>
      <c r="AA127" s="130"/>
      <c r="AB127" s="112"/>
      <c r="AC127" s="53"/>
      <c r="AD127" s="15"/>
    </row>
    <row r="128" spans="5:30">
      <c r="E128" s="41"/>
      <c r="F128" s="15"/>
      <c r="G128" s="15"/>
      <c r="H128" s="21"/>
      <c r="I128" s="22"/>
      <c r="J128" s="22"/>
      <c r="K128" s="22"/>
      <c r="L128" s="22"/>
      <c r="M128" s="22"/>
      <c r="N128" s="22"/>
      <c r="O128" s="22"/>
      <c r="P128" s="22"/>
      <c r="S128" s="22"/>
      <c r="T128" s="22"/>
      <c r="U128" s="22"/>
      <c r="V128" s="22"/>
      <c r="W128" s="22"/>
      <c r="X128" s="22"/>
      <c r="Y128" s="22"/>
      <c r="Z128" s="22"/>
      <c r="AA128" s="128"/>
      <c r="AB128" s="21"/>
      <c r="AC128" s="53"/>
      <c r="AD128" s="15"/>
    </row>
    <row r="129" spans="5:30">
      <c r="E129" s="41"/>
      <c r="F129" s="15"/>
      <c r="G129" s="15"/>
      <c r="H129" s="21"/>
      <c r="I129" s="22"/>
      <c r="J129" s="22"/>
      <c r="K129" s="22"/>
      <c r="L129" s="22"/>
      <c r="M129" s="22"/>
      <c r="N129" s="22"/>
      <c r="O129" s="22"/>
      <c r="P129" s="22"/>
      <c r="S129" s="22"/>
      <c r="T129" s="22"/>
      <c r="U129" s="22"/>
      <c r="V129" s="22"/>
      <c r="W129" s="22"/>
      <c r="X129" s="22"/>
      <c r="Y129" s="22"/>
      <c r="Z129" s="22"/>
      <c r="AA129" s="128"/>
      <c r="AB129" s="21"/>
      <c r="AC129" s="53"/>
      <c r="AD129" s="15"/>
    </row>
    <row r="130" spans="5:30">
      <c r="E130" s="41"/>
      <c r="F130" s="15"/>
      <c r="G130" s="15"/>
      <c r="H130" s="21"/>
      <c r="I130" s="22"/>
      <c r="J130" s="22"/>
      <c r="K130" s="22"/>
      <c r="L130" s="22"/>
      <c r="M130" s="22"/>
      <c r="N130" s="22"/>
      <c r="O130" s="22"/>
      <c r="P130" s="22"/>
      <c r="S130" s="22"/>
      <c r="T130" s="22"/>
      <c r="U130" s="22"/>
      <c r="V130" s="22"/>
      <c r="W130" s="22"/>
      <c r="X130" s="22"/>
      <c r="Y130" s="22"/>
      <c r="Z130" s="22"/>
      <c r="AA130" s="128"/>
      <c r="AB130" s="21"/>
      <c r="AC130" s="53"/>
      <c r="AD130" s="15"/>
    </row>
    <row r="131" spans="5:30">
      <c r="E131" s="41"/>
      <c r="F131" s="15"/>
      <c r="G131" s="15"/>
      <c r="H131" s="21"/>
      <c r="I131" s="22"/>
      <c r="J131" s="22"/>
      <c r="K131" s="22"/>
      <c r="L131" s="22"/>
      <c r="M131" s="22"/>
      <c r="N131" s="22"/>
      <c r="O131" s="22"/>
      <c r="P131" s="22"/>
      <c r="S131" s="22"/>
      <c r="T131" s="22"/>
      <c r="U131" s="22"/>
      <c r="V131" s="22"/>
      <c r="W131" s="22"/>
      <c r="X131" s="22"/>
      <c r="Y131" s="22"/>
      <c r="Z131" s="22"/>
      <c r="AA131" s="130"/>
      <c r="AB131" s="112"/>
      <c r="AC131" s="53"/>
      <c r="AD131" s="15"/>
    </row>
    <row r="133" spans="5:30">
      <c r="AA133" s="132"/>
      <c r="AB133" s="114"/>
    </row>
  </sheetData>
  <mergeCells count="25">
    <mergeCell ref="H95:I95"/>
    <mergeCell ref="H96:I96"/>
    <mergeCell ref="H97:I97"/>
    <mergeCell ref="H89:I89"/>
    <mergeCell ref="H90:I90"/>
    <mergeCell ref="H91:I91"/>
    <mergeCell ref="H92:I92"/>
    <mergeCell ref="H93:I93"/>
    <mergeCell ref="H94:I94"/>
    <mergeCell ref="H87:I87"/>
    <mergeCell ref="H88:I88"/>
    <mergeCell ref="AH1:AK1"/>
    <mergeCell ref="H8:H10"/>
    <mergeCell ref="J8:J10"/>
    <mergeCell ref="K8:K10"/>
    <mergeCell ref="M8:M11"/>
    <mergeCell ref="N8:N10"/>
    <mergeCell ref="S8:S10"/>
    <mergeCell ref="T8:T10"/>
    <mergeCell ref="AA8:AA10"/>
    <mergeCell ref="AC8:AC10"/>
    <mergeCell ref="AD8:AF10"/>
    <mergeCell ref="H86:I86"/>
    <mergeCell ref="U8:U10"/>
    <mergeCell ref="V8:V10"/>
  </mergeCells>
  <phoneticPr fontId="0" type="noConversion"/>
  <pageMargins left="0.22" right="0.18" top="1" bottom="0.5" header="0.5" footer="0.5"/>
  <pageSetup paperSize="5" scale="62" orientation="landscape" horizontalDpi="300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FF00"/>
  </sheetPr>
  <dimension ref="A1:AH64"/>
  <sheetViews>
    <sheetView topLeftCell="A16" zoomScaleSheetLayoutView="110" workbookViewId="0">
      <selection activeCell="C20" sqref="C20"/>
    </sheetView>
  </sheetViews>
  <sheetFormatPr defaultColWidth="9.1796875" defaultRowHeight="14.5"/>
  <cols>
    <col min="1" max="2" width="9.1796875" style="138"/>
    <col min="3" max="3" width="3.1796875" customWidth="1"/>
    <col min="4" max="4" width="35.26953125" customWidth="1"/>
    <col min="5" max="5" width="22.26953125" customWidth="1"/>
    <col min="10" max="10" width="10.54296875" customWidth="1"/>
    <col min="13" max="13" width="11.81640625" customWidth="1"/>
    <col min="16" max="34" width="9.1796875" style="138"/>
  </cols>
  <sheetData>
    <row r="1" spans="1:34" s="138" customFormat="1"/>
    <row r="2" spans="1:34" s="138" customFormat="1"/>
    <row r="7" spans="1:34" ht="23.5">
      <c r="D7" t="s">
        <v>139</v>
      </c>
    </row>
    <row r="9" spans="1:34">
      <c r="N9" s="262" t="s">
        <v>137</v>
      </c>
    </row>
    <row r="11" spans="1:34" ht="23.5">
      <c r="C11" s="700" t="s">
        <v>138</v>
      </c>
      <c r="D11" s="700"/>
      <c r="E11" s="700"/>
      <c r="F11" s="700"/>
      <c r="G11" s="700"/>
      <c r="H11" s="700"/>
      <c r="I11" s="700"/>
      <c r="J11" s="700"/>
      <c r="K11" s="700"/>
      <c r="L11" s="700"/>
      <c r="M11" s="700"/>
      <c r="N11" s="700"/>
      <c r="O11" s="700"/>
    </row>
    <row r="13" spans="1:34">
      <c r="C13" s="723" t="s">
        <v>136</v>
      </c>
      <c r="D13" s="723"/>
      <c r="E13" s="723"/>
      <c r="F13" s="723"/>
      <c r="G13" s="723"/>
      <c r="H13" s="723"/>
      <c r="I13" s="723"/>
      <c r="J13" s="723"/>
      <c r="K13" s="723"/>
      <c r="L13" s="724" t="str">
        <f>'COMPUTATION SHEET'!F6</f>
        <v>OT N0. 15-005   DATED APRIL 7, 2015</v>
      </c>
      <c r="M13" s="724"/>
      <c r="N13" s="724"/>
      <c r="O13" s="724"/>
    </row>
    <row r="14" spans="1:34" ht="15" thickBot="1"/>
    <row r="15" spans="1:34" s="265" customFormat="1">
      <c r="A15" s="263"/>
      <c r="B15" s="263"/>
      <c r="C15" s="717"/>
      <c r="D15" s="718"/>
      <c r="E15" s="701" t="s">
        <v>116</v>
      </c>
      <c r="F15" s="703"/>
      <c r="G15" s="710" t="s">
        <v>118</v>
      </c>
      <c r="H15" s="701" t="s">
        <v>119</v>
      </c>
      <c r="I15" s="702"/>
      <c r="J15" s="703"/>
      <c r="K15" s="710" t="s">
        <v>120</v>
      </c>
      <c r="L15" s="710" t="s">
        <v>121</v>
      </c>
      <c r="M15" s="264" t="s">
        <v>122</v>
      </c>
      <c r="N15" s="710" t="s">
        <v>124</v>
      </c>
      <c r="O15" s="264" t="s">
        <v>125</v>
      </c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</row>
    <row r="16" spans="1:34" s="265" customFormat="1">
      <c r="A16" s="263"/>
      <c r="B16" s="263"/>
      <c r="C16" s="719"/>
      <c r="D16" s="720"/>
      <c r="E16" s="704" t="s">
        <v>117</v>
      </c>
      <c r="F16" s="706"/>
      <c r="G16" s="711"/>
      <c r="H16" s="704"/>
      <c r="I16" s="705"/>
      <c r="J16" s="706"/>
      <c r="K16" s="711"/>
      <c r="L16" s="711"/>
      <c r="M16" s="713" t="s">
        <v>123</v>
      </c>
      <c r="N16" s="711"/>
      <c r="O16" s="711" t="s">
        <v>126</v>
      </c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</row>
    <row r="17" spans="1:34" s="265" customFormat="1" ht="15" thickBot="1">
      <c r="A17" s="263"/>
      <c r="B17" s="263"/>
      <c r="C17" s="719"/>
      <c r="D17" s="720"/>
      <c r="E17" s="704"/>
      <c r="F17" s="706"/>
      <c r="G17" s="711"/>
      <c r="H17" s="707"/>
      <c r="I17" s="708"/>
      <c r="J17" s="709"/>
      <c r="K17" s="711"/>
      <c r="L17" s="711"/>
      <c r="M17" s="713"/>
      <c r="N17" s="711"/>
      <c r="O17" s="711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</row>
    <row r="18" spans="1:34" s="265" customFormat="1" ht="39.5" thickBot="1">
      <c r="A18" s="263"/>
      <c r="B18" s="263"/>
      <c r="C18" s="719"/>
      <c r="D18" s="720"/>
      <c r="E18" s="715"/>
      <c r="F18" s="716"/>
      <c r="G18" s="712"/>
      <c r="H18" s="266" t="s">
        <v>127</v>
      </c>
      <c r="I18" s="266" t="s">
        <v>128</v>
      </c>
      <c r="J18" s="266" t="s">
        <v>129</v>
      </c>
      <c r="K18" s="712"/>
      <c r="L18" s="712"/>
      <c r="M18" s="714"/>
      <c r="N18" s="712"/>
      <c r="O18" s="712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</row>
    <row r="19" spans="1:34" ht="26.5" thickBot="1">
      <c r="C19" s="721"/>
      <c r="D19" s="722"/>
      <c r="E19" s="267" t="s">
        <v>130</v>
      </c>
      <c r="F19" s="267" t="s">
        <v>131</v>
      </c>
      <c r="G19" s="267" t="s">
        <v>132</v>
      </c>
      <c r="H19" s="267" t="s">
        <v>133</v>
      </c>
      <c r="I19" s="267" t="s">
        <v>133</v>
      </c>
      <c r="J19" s="267" t="s">
        <v>133</v>
      </c>
      <c r="K19" s="267" t="s">
        <v>133</v>
      </c>
      <c r="L19" s="267" t="s">
        <v>133</v>
      </c>
      <c r="M19" s="267" t="s">
        <v>134</v>
      </c>
      <c r="N19" s="267" t="s">
        <v>135</v>
      </c>
      <c r="O19" s="267" t="s">
        <v>133</v>
      </c>
    </row>
    <row r="20" spans="1:34">
      <c r="B20" s="138">
        <v>1</v>
      </c>
      <c r="C20" s="268">
        <f>'COMPUTATION SHEET'!E24</f>
        <v>1</v>
      </c>
      <c r="D20" s="269" t="str">
        <f>'COMPUTATION SHEET'!F24</f>
        <v>RABADAM, MARIA EMY TAN</v>
      </c>
      <c r="E20" s="270" t="str">
        <f>IF(B20=C20,'INPUT FIELDS'!Z37," ")</f>
        <v>15-0070</v>
      </c>
      <c r="F20" s="271">
        <f>IF(B20=C20,'INPUT FIELDS'!AA37," ")</f>
        <v>42094</v>
      </c>
      <c r="G20" s="271">
        <f>IF(B20=C20,'INPUT FIELDS'!AB37," ")</f>
        <v>42081</v>
      </c>
      <c r="H20" s="271">
        <f>IF(B20=C20,'INPUT FIELDS'!AC37," ")</f>
        <v>42081</v>
      </c>
      <c r="I20" s="271">
        <f>IF(B20=C20,'INPUT FIELDS'!AD37," ")</f>
        <v>42081</v>
      </c>
      <c r="J20" s="271">
        <f>IF(B20=C20,'INPUT FIELDS'!AE37," ")</f>
        <v>42081</v>
      </c>
      <c r="K20" s="271">
        <f>IF(B20=C20,'INPUT FIELDS'!AF37," ")</f>
        <v>42081</v>
      </c>
      <c r="L20" s="271">
        <f>IF(B20=C20,'INPUT FIELDS'!AG37," ")</f>
        <v>42081</v>
      </c>
      <c r="M20" s="271" t="str">
        <f>IF(B20=C20,'INPUT FIELDS'!AH37," ")</f>
        <v>NA</v>
      </c>
      <c r="N20" s="270">
        <f>IF(B20=C20,'INPUT FIELDS'!AI37," ")</f>
        <v>2014</v>
      </c>
      <c r="O20" s="271" t="str">
        <f>IF(B20=C20,'INPUT FIELDS'!AJ37," ")</f>
        <v>-</v>
      </c>
    </row>
    <row r="21" spans="1:34" s="276" customFormat="1" ht="4.5">
      <c r="A21" s="272"/>
      <c r="B21" s="272"/>
      <c r="C21" s="273"/>
      <c r="D21" s="273"/>
      <c r="E21" s="274"/>
      <c r="F21" s="275"/>
      <c r="G21" s="275"/>
      <c r="H21" s="275"/>
      <c r="I21" s="275"/>
      <c r="J21" s="275"/>
      <c r="K21" s="275"/>
      <c r="L21" s="275"/>
      <c r="M21" s="275"/>
      <c r="N21" s="274"/>
      <c r="O21" s="275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  <c r="AA21" s="272"/>
      <c r="AB21" s="272"/>
      <c r="AC21" s="272"/>
      <c r="AD21" s="272"/>
      <c r="AE21" s="272"/>
      <c r="AF21" s="272"/>
      <c r="AG21" s="272"/>
      <c r="AH21" s="272"/>
    </row>
    <row r="22" spans="1:34">
      <c r="B22" s="138">
        <v>2</v>
      </c>
      <c r="C22" s="268">
        <f>'COMPUTATION SHEET'!E26</f>
        <v>2</v>
      </c>
      <c r="D22" s="269" t="str">
        <f>'COMPUTATION SHEET'!F26</f>
        <v>LEJAS, ALLAN GULFERIC</v>
      </c>
      <c r="E22" s="270" t="str">
        <f>IF(B22=C22,'INPUT FIELDS'!Z39," ")</f>
        <v>15-0070</v>
      </c>
      <c r="F22" s="271">
        <f>IF(B22=C22,'INPUT FIELDS'!AA39," ")</f>
        <v>42094</v>
      </c>
      <c r="G22" s="271">
        <f>IF(B22=C22,'INPUT FIELDS'!AB39," ")</f>
        <v>34409</v>
      </c>
      <c r="H22" s="271">
        <f>IF(B22=C22,'INPUT FIELDS'!AC39," ")</f>
        <v>42097</v>
      </c>
      <c r="I22" s="271">
        <f>IF(B22=C22,'INPUT FIELDS'!AD39," ")</f>
        <v>42135</v>
      </c>
      <c r="J22" s="271">
        <f>IF(B22=C22,'INPUT FIELDS'!AE39," ")</f>
        <v>42463</v>
      </c>
      <c r="K22" s="271">
        <f>IF(B22=C22,'INPUT FIELDS'!AF39," ")</f>
        <v>42463</v>
      </c>
      <c r="L22" s="271">
        <f>IF(B22=C22,'INPUT FIELDS'!AG39," ")</f>
        <v>42463</v>
      </c>
      <c r="M22" s="271" t="str">
        <f>IF(B22=C22,'INPUT FIELDS'!AH39," ")</f>
        <v>NA</v>
      </c>
      <c r="N22" s="270">
        <f>IF(B22=C22,'INPUT FIELDS'!AI39," ")</f>
        <v>2014</v>
      </c>
      <c r="O22" s="271" t="str">
        <f>IF(B22=C22,'INPUT FIELDS'!AJ39," ")</f>
        <v>-</v>
      </c>
    </row>
    <row r="23" spans="1:34" s="276" customFormat="1" ht="4.5">
      <c r="A23" s="272"/>
      <c r="B23" s="272"/>
      <c r="C23" s="273"/>
      <c r="D23" s="273"/>
      <c r="E23" s="274"/>
      <c r="F23" s="275"/>
      <c r="G23" s="275"/>
      <c r="H23" s="275"/>
      <c r="I23" s="275"/>
      <c r="J23" s="275"/>
      <c r="K23" s="275"/>
      <c r="L23" s="275"/>
      <c r="M23" s="275"/>
      <c r="N23" s="274"/>
      <c r="O23" s="275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  <c r="AA23" s="272"/>
      <c r="AB23" s="272"/>
      <c r="AC23" s="272"/>
      <c r="AD23" s="272"/>
      <c r="AE23" s="272"/>
      <c r="AF23" s="272"/>
      <c r="AG23" s="272"/>
      <c r="AH23" s="272"/>
    </row>
    <row r="24" spans="1:34">
      <c r="B24" s="138">
        <v>3</v>
      </c>
      <c r="C24" s="268">
        <f>'COMPUTATION SHEET'!E28</f>
        <v>3</v>
      </c>
      <c r="D24" s="269" t="str">
        <f>'COMPUTATION SHEET'!F28</f>
        <v>NUNEZ, JOSE JR ADESAS</v>
      </c>
      <c r="E24" s="270" t="str">
        <f>IF(B24=C24,'INPUT FIELDS'!Z41," ")</f>
        <v>15-0070</v>
      </c>
      <c r="F24" s="271">
        <f>IF(B24=C24,'INPUT FIELDS'!AA41," ")</f>
        <v>42094</v>
      </c>
      <c r="G24" s="271">
        <f>IF(B24=C24,'INPUT FIELDS'!AB41," ")</f>
        <v>42095</v>
      </c>
      <c r="H24" s="271">
        <f>IF(B24=C24,'INPUT FIELDS'!AC41," ")</f>
        <v>42095</v>
      </c>
      <c r="I24" s="271">
        <f>IF(B24=C24,'INPUT FIELDS'!AD41," ")</f>
        <v>42093</v>
      </c>
      <c r="J24" s="271">
        <f>IF(B24=C24,'INPUT FIELDS'!AE41," ")</f>
        <v>42095</v>
      </c>
      <c r="K24" s="271">
        <f>IF(B24=C24,'INPUT FIELDS'!AF41," ")</f>
        <v>42095</v>
      </c>
      <c r="L24" s="271">
        <f>IF(B24=C24,'INPUT FIELDS'!AG41," ")</f>
        <v>42095</v>
      </c>
      <c r="M24" s="271" t="str">
        <f>IF(B24=C24,'INPUT FIELDS'!AH41," ")</f>
        <v>NA</v>
      </c>
      <c r="N24" s="270">
        <f>IF(B24=C24,'INPUT FIELDS'!AI41," ")</f>
        <v>2014</v>
      </c>
      <c r="O24" s="271" t="str">
        <f>IF(B24=C24,'INPUT FIELDS'!AJ41," ")</f>
        <v>-</v>
      </c>
    </row>
    <row r="25" spans="1:34" s="280" customFormat="1" ht="4.5">
      <c r="A25" s="279"/>
      <c r="B25" s="279"/>
      <c r="F25" s="281"/>
      <c r="G25" s="281"/>
      <c r="H25" s="281"/>
      <c r="I25" s="281"/>
      <c r="J25" s="281"/>
      <c r="K25" s="281"/>
      <c r="L25" s="281"/>
      <c r="M25" s="281"/>
      <c r="O25" s="281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  <c r="AA25" s="279"/>
      <c r="AB25" s="279"/>
      <c r="AC25" s="279"/>
      <c r="AD25" s="279"/>
      <c r="AE25" s="279"/>
      <c r="AF25" s="279"/>
      <c r="AG25" s="279"/>
      <c r="AH25" s="279"/>
    </row>
    <row r="26" spans="1:34" s="283" customFormat="1">
      <c r="A26" s="282"/>
      <c r="B26" s="282">
        <v>4</v>
      </c>
      <c r="C26" s="268">
        <f>'COMPUTATION SHEET'!E30</f>
        <v>4</v>
      </c>
      <c r="D26" s="269" t="str">
        <f>'COMPUTATION SHEET'!F30</f>
        <v>LIMA, NESTOR PELENO</v>
      </c>
      <c r="E26" s="270" t="str">
        <f>IF(B26=C26,'INPUT FIELDS'!Z43," ")</f>
        <v>15-0080</v>
      </c>
      <c r="F26" s="271">
        <f>IF(B26=C26,'INPUT FIELDS'!AA43," ")</f>
        <v>42094</v>
      </c>
      <c r="G26" s="271">
        <f>IF(B26=C26,'INPUT FIELDS'!AB43," ")</f>
        <v>42087</v>
      </c>
      <c r="H26" s="271">
        <f>IF(B26=C26,'INPUT FIELDS'!AC43," ")</f>
        <v>42093</v>
      </c>
      <c r="I26" s="271">
        <f>IF(B26=C26,'INPUT FIELDS'!AD43," ")</f>
        <v>42087</v>
      </c>
      <c r="J26" s="271">
        <f>IF(B26=C26,'INPUT FIELDS'!AE43," ")</f>
        <v>42087</v>
      </c>
      <c r="K26" s="271">
        <f>IF(B26=C26,'INPUT FIELDS'!AF43," ")</f>
        <v>42087</v>
      </c>
      <c r="L26" s="271">
        <f>IF(B26=C26,'INPUT FIELDS'!AG43," ")</f>
        <v>42087</v>
      </c>
      <c r="M26" s="271" t="str">
        <f>IF(B26=C26,'INPUT FIELDS'!AH43," ")</f>
        <v>NA</v>
      </c>
      <c r="N26" s="270">
        <f>IF(B26=C26,'INPUT FIELDS'!AI43," ")</f>
        <v>2014</v>
      </c>
      <c r="O26" s="271" t="str">
        <f>IF(B26=C26,'INPUT FIELDS'!AJ43," ")</f>
        <v>-</v>
      </c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</row>
    <row r="27" spans="1:34" s="280" customFormat="1" ht="4.5">
      <c r="A27" s="279"/>
      <c r="B27" s="279"/>
      <c r="E27" s="281"/>
      <c r="F27" s="281"/>
      <c r="G27" s="281"/>
      <c r="H27" s="281"/>
      <c r="I27" s="281"/>
      <c r="J27" s="281"/>
      <c r="K27" s="281"/>
      <c r="L27" s="281"/>
      <c r="M27" s="281"/>
      <c r="O27" s="281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9"/>
      <c r="AH27" s="279"/>
    </row>
    <row r="28" spans="1:34" s="283" customFormat="1">
      <c r="A28" s="282"/>
      <c r="B28" s="282">
        <v>5</v>
      </c>
      <c r="C28" s="268">
        <f>'COMPUTATION SHEET'!E32</f>
        <v>5</v>
      </c>
      <c r="D28" s="269" t="str">
        <f>'COMPUTATION SHEET'!F32</f>
        <v>ALEGRIA, MARCIANO JR HERNANDEZ</v>
      </c>
      <c r="E28" s="270">
        <f>IF(B28=C28,'INPUT FIELDS'!Z45," ")</f>
        <v>0</v>
      </c>
      <c r="F28" s="271">
        <f>IF(B28=C28,'INPUT FIELDS'!AA45," ")</f>
        <v>42100</v>
      </c>
      <c r="G28" s="271">
        <f>IF(B28=C28,'INPUT FIELDS'!AB45," ")</f>
        <v>42095</v>
      </c>
      <c r="H28" s="271">
        <f>IF(B28=C28,'INPUT FIELDS'!AC45," ")</f>
        <v>42100</v>
      </c>
      <c r="I28" s="271">
        <f>IF(B28=C28,'INPUT FIELDS'!AD45," ")</f>
        <v>42090</v>
      </c>
      <c r="J28" s="271">
        <f>IF(B28=C28,'INPUT FIELDS'!AE45," ")</f>
        <v>42100</v>
      </c>
      <c r="K28" s="271">
        <f>IF(B28=C28,'INPUT FIELDS'!AF45," ")</f>
        <v>42089</v>
      </c>
      <c r="L28" s="271">
        <f>IF(B28=C28,'INPUT FIELDS'!AG45," ")</f>
        <v>42089</v>
      </c>
      <c r="M28" s="271" t="str">
        <f>IF(B28=C28,'INPUT FIELDS'!AH45," ")</f>
        <v>NA</v>
      </c>
      <c r="N28" s="270">
        <f>IF(B28=C28,'INPUT FIELDS'!AI45," ")</f>
        <v>2014</v>
      </c>
      <c r="O28" s="271">
        <f>IF(B28=C28,'INPUT FIELDS'!AJ45," ")</f>
        <v>0</v>
      </c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</row>
    <row r="29" spans="1:34" s="280" customFormat="1" ht="4.5">
      <c r="A29" s="279"/>
      <c r="B29" s="279"/>
      <c r="E29" s="281"/>
      <c r="F29" s="281"/>
      <c r="G29" s="281"/>
      <c r="H29" s="281"/>
      <c r="I29" s="281"/>
      <c r="J29" s="281"/>
      <c r="K29" s="281"/>
      <c r="L29" s="281"/>
      <c r="M29" s="281"/>
      <c r="O29" s="281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  <c r="AA29" s="279"/>
      <c r="AB29" s="279"/>
      <c r="AC29" s="279"/>
      <c r="AD29" s="279"/>
      <c r="AE29" s="279"/>
      <c r="AF29" s="279"/>
      <c r="AG29" s="279"/>
      <c r="AH29" s="279"/>
    </row>
    <row r="30" spans="1:34" s="283" customFormat="1">
      <c r="A30" s="282"/>
      <c r="B30" s="282">
        <v>6</v>
      </c>
      <c r="C30" s="268">
        <f>'COMPUTATION SHEET'!E34</f>
        <v>6</v>
      </c>
      <c r="D30" s="269" t="str">
        <f>'COMPUTATION SHEET'!F34</f>
        <v>GACELOS, MANOLITO ABARRACOSO</v>
      </c>
      <c r="E30" s="270">
        <f>IF(B30=C30,'INPUT FIELDS'!Z47," ")</f>
        <v>0</v>
      </c>
      <c r="F30" s="271">
        <f>IF(B30=C30,'INPUT FIELDS'!AA47," ")</f>
        <v>42101</v>
      </c>
      <c r="G30" s="271">
        <f>IF(B30=C30,'INPUT FIELDS'!AB47," ")</f>
        <v>42101</v>
      </c>
      <c r="H30" s="271">
        <f>IF(B30=C30,'INPUT FIELDS'!AC47," ")</f>
        <v>42101</v>
      </c>
      <c r="I30" s="271">
        <f>IF(B30=C30,'INPUT FIELDS'!AD47," ")</f>
        <v>42101</v>
      </c>
      <c r="J30" s="271">
        <f>IF(B30=C30,'INPUT FIELDS'!AE47," ")</f>
        <v>42101</v>
      </c>
      <c r="K30" s="271">
        <f>IF(B30=C30,'INPUT FIELDS'!AF47," ")</f>
        <v>42101</v>
      </c>
      <c r="L30" s="271">
        <f>IF(B30=C30,'INPUT FIELDS'!AG47," ")</f>
        <v>42101</v>
      </c>
      <c r="M30" s="271" t="str">
        <f>IF(B30=C30,'INPUT FIELDS'!AH47," ")</f>
        <v>NA</v>
      </c>
      <c r="N30" s="270">
        <f>IF(B30=C30,'INPUT FIELDS'!AI47," ")</f>
        <v>2014</v>
      </c>
      <c r="O30" s="271">
        <f>IF(B30=C30,'INPUT FIELDS'!AJ47," ")</f>
        <v>0</v>
      </c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</row>
    <row r="31" spans="1:34" s="280" customFormat="1" ht="4.5">
      <c r="A31" s="279"/>
      <c r="B31" s="279"/>
      <c r="E31" s="281"/>
      <c r="F31" s="281"/>
      <c r="G31" s="281"/>
      <c r="H31" s="281"/>
      <c r="I31" s="281"/>
      <c r="J31" s="281"/>
      <c r="K31" s="281"/>
      <c r="L31" s="281"/>
      <c r="M31" s="281"/>
      <c r="O31" s="281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  <c r="AA31" s="279"/>
      <c r="AB31" s="279"/>
      <c r="AC31" s="279"/>
      <c r="AD31" s="279"/>
      <c r="AE31" s="279"/>
      <c r="AF31" s="279"/>
      <c r="AG31" s="279"/>
      <c r="AH31" s="279"/>
    </row>
    <row r="32" spans="1:34" s="283" customFormat="1">
      <c r="A32" s="282"/>
      <c r="B32" s="282">
        <v>7</v>
      </c>
      <c r="C32" s="268">
        <f>'COMPUTATION SHEET'!E36</f>
        <v>7</v>
      </c>
      <c r="D32" s="269" t="str">
        <f>'COMPUTATION SHEET'!F36</f>
        <v>GONZALES, LEONILA HILONGO</v>
      </c>
      <c r="E32" s="270">
        <f>IF(B32=C32,'INPUT FIELDS'!Z49," ")</f>
        <v>0</v>
      </c>
      <c r="F32" s="271">
        <f>IF(B32=C32,'INPUT FIELDS'!AA49," ")</f>
        <v>42100</v>
      </c>
      <c r="G32" s="271">
        <f>IF(B32=C32,'INPUT FIELDS'!AB49," ")</f>
        <v>42100</v>
      </c>
      <c r="H32" s="271">
        <f>IF(B32=C32,'INPUT FIELDS'!AC49," ")</f>
        <v>42095</v>
      </c>
      <c r="I32" s="271">
        <f>IF(B32=C32,'INPUT FIELDS'!AD49," ")</f>
        <v>42095</v>
      </c>
      <c r="J32" s="271">
        <f>IF(B32=C32,'INPUT FIELDS'!AE49," ")</f>
        <v>42095</v>
      </c>
      <c r="K32" s="271">
        <f>IF(B32=C32,'INPUT FIELDS'!AF49," ")</f>
        <v>42095</v>
      </c>
      <c r="L32" s="271">
        <f>IF(B32=C32,'INPUT FIELDS'!AG49," ")</f>
        <v>42095</v>
      </c>
      <c r="M32" s="271" t="str">
        <f>IF(B32=C32,'INPUT FIELDS'!AH49," ")</f>
        <v>NA</v>
      </c>
      <c r="N32" s="270">
        <f>IF(B32=C32,'INPUT FIELDS'!AI49," ")</f>
        <v>2014</v>
      </c>
      <c r="O32" s="271">
        <f>IF(B32=C32,'INPUT FIELDS'!AJ49," ")</f>
        <v>0</v>
      </c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</row>
    <row r="33" spans="1:34" s="280" customFormat="1" ht="4.5">
      <c r="A33" s="279"/>
      <c r="B33" s="279"/>
      <c r="F33" s="281"/>
      <c r="G33" s="281"/>
      <c r="H33" s="281"/>
      <c r="I33" s="281"/>
      <c r="J33" s="281"/>
      <c r="K33" s="281"/>
      <c r="L33" s="281"/>
      <c r="M33" s="281"/>
      <c r="O33" s="281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9"/>
      <c r="AH33" s="279"/>
    </row>
    <row r="34" spans="1:34" s="283" customFormat="1">
      <c r="A34" s="282"/>
      <c r="B34" s="282">
        <v>8</v>
      </c>
      <c r="C34" s="268">
        <f>'COMPUTATION SHEET'!E38</f>
        <v>8</v>
      </c>
      <c r="D34" s="269" t="str">
        <f>'COMPUTATION SHEET'!F38</f>
        <v>MAYOR, CHONA BRANZUELA</v>
      </c>
      <c r="E34" s="270">
        <f>IF(B34=C34,'INPUT FIELDS'!Z51," ")</f>
        <v>0</v>
      </c>
      <c r="F34" s="271">
        <f>IF(B34=C34,'INPUT FIELDS'!AA51," ")</f>
        <v>42100</v>
      </c>
      <c r="G34" s="271">
        <f>IF(B34=C34,'INPUT FIELDS'!AB51," ")</f>
        <v>42100</v>
      </c>
      <c r="H34" s="271">
        <f>IF(B34=C34,'INPUT FIELDS'!AC51," ")</f>
        <v>42100</v>
      </c>
      <c r="I34" s="271">
        <f>IF(B34=C34,'INPUT FIELDS'!AD51," ")</f>
        <v>42095</v>
      </c>
      <c r="J34" s="271">
        <f>IF(B34=C34,'INPUT FIELDS'!AE51," ")</f>
        <v>42095</v>
      </c>
      <c r="K34" s="271">
        <f>IF(B34=C34,'INPUT FIELDS'!AF51," ")</f>
        <v>42095</v>
      </c>
      <c r="L34" s="271">
        <f>IF(B34=C34,'INPUT FIELDS'!AG51," ")</f>
        <v>42094</v>
      </c>
      <c r="M34" s="271" t="str">
        <f>IF(B34=C34,'INPUT FIELDS'!AH51," ")</f>
        <v>NA</v>
      </c>
      <c r="N34" s="270">
        <f>IF(B34=C34,'INPUT FIELDS'!AI51," ")</f>
        <v>2014</v>
      </c>
      <c r="O34" s="271">
        <f>IF(B34=C34,'INPUT FIELDS'!AJ51," ")</f>
        <v>0</v>
      </c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</row>
    <row r="35" spans="1:34" s="280" customFormat="1" ht="4.5">
      <c r="A35" s="279"/>
      <c r="B35" s="279"/>
      <c r="F35" s="281"/>
      <c r="G35" s="281"/>
      <c r="H35" s="281"/>
      <c r="I35" s="281"/>
      <c r="J35" s="281"/>
      <c r="K35" s="281"/>
      <c r="L35" s="281"/>
      <c r="M35" s="281"/>
      <c r="O35" s="281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  <c r="AA35" s="279"/>
      <c r="AB35" s="279"/>
      <c r="AC35" s="279"/>
      <c r="AD35" s="279"/>
      <c r="AE35" s="279"/>
      <c r="AF35" s="279"/>
      <c r="AG35" s="279"/>
      <c r="AH35" s="279"/>
    </row>
    <row r="36" spans="1:34" s="283" customFormat="1">
      <c r="A36" s="282"/>
      <c r="B36" s="282">
        <v>9</v>
      </c>
      <c r="C36" s="268">
        <f>'COMPUTATION SHEET'!E40</f>
        <v>9</v>
      </c>
      <c r="D36" s="269" t="str">
        <f>'COMPUTATION SHEET'!F40</f>
        <v>YBOA, JONAS ABELIDO</v>
      </c>
      <c r="E36" s="270">
        <f>IF(B36=C36,'INPUT FIELDS'!Z53," ")</f>
        <v>0</v>
      </c>
      <c r="F36" s="271">
        <f>IF(B36=C36,'INPUT FIELDS'!AA53," ")</f>
        <v>42100</v>
      </c>
      <c r="G36" s="271">
        <f>IF(B36=C36,'INPUT FIELDS'!AB53," ")</f>
        <v>42093</v>
      </c>
      <c r="H36" s="271">
        <f>IF(B36=C36,'INPUT FIELDS'!AC53," ")</f>
        <v>42090</v>
      </c>
      <c r="I36" s="271">
        <f>IF(B36=C36,'INPUT FIELDS'!AD53," ")</f>
        <v>42093</v>
      </c>
      <c r="J36" s="271">
        <f>IF(B36=C36,'INPUT FIELDS'!AE53," ")</f>
        <v>42090</v>
      </c>
      <c r="K36" s="271">
        <f>IF(B36=C36,'INPUT FIELDS'!AF53," ")</f>
        <v>42093</v>
      </c>
      <c r="L36" s="271">
        <f>IF(B36=C36,'INPUT FIELDS'!AG53," ")</f>
        <v>42090</v>
      </c>
      <c r="M36" s="271" t="str">
        <f>IF(B36=C36,'INPUT FIELDS'!AH53," ")</f>
        <v>NA</v>
      </c>
      <c r="N36" s="270">
        <f>IF(B36=C36,'INPUT FIELDS'!AI53," ")</f>
        <v>2014</v>
      </c>
      <c r="O36" s="271">
        <f>IF(B36=C36,'INPUT FIELDS'!AJ53," ")</f>
        <v>0</v>
      </c>
      <c r="P36" s="282"/>
      <c r="Q36" s="282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</row>
    <row r="37" spans="1:34" s="280" customFormat="1" ht="4.5">
      <c r="A37" s="279"/>
      <c r="B37" s="279"/>
      <c r="F37" s="281"/>
      <c r="G37" s="281"/>
      <c r="H37" s="281"/>
      <c r="I37" s="281"/>
      <c r="J37" s="281"/>
      <c r="K37" s="281"/>
      <c r="L37" s="281"/>
      <c r="M37" s="281"/>
      <c r="O37" s="281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  <c r="AA37" s="279"/>
      <c r="AB37" s="279"/>
      <c r="AC37" s="279"/>
      <c r="AD37" s="279"/>
      <c r="AE37" s="279"/>
      <c r="AF37" s="279"/>
      <c r="AG37" s="279"/>
      <c r="AH37" s="279"/>
    </row>
    <row r="38" spans="1:34" s="283" customFormat="1">
      <c r="A38" s="282"/>
      <c r="B38" s="282">
        <v>10</v>
      </c>
      <c r="C38" s="268">
        <f>'COMPUTATION SHEET'!E42</f>
        <v>10</v>
      </c>
      <c r="D38" s="269" t="str">
        <f>'COMPUTATION SHEET'!F42</f>
        <v>GONZALES, RUBIA ABARCAR</v>
      </c>
      <c r="E38" s="270">
        <f>IF(B38=C38,'INPUT FIELDS'!Z55," ")</f>
        <v>0</v>
      </c>
      <c r="F38" s="271">
        <f>IF(B38=C38,'INPUT FIELDS'!AA55," ")</f>
        <v>42100</v>
      </c>
      <c r="G38" s="271">
        <f>IF(B38=C38,'INPUT FIELDS'!AB55," ")</f>
        <v>42093</v>
      </c>
      <c r="H38" s="271">
        <f>IF(B38=C38,'INPUT FIELDS'!AC55," ")</f>
        <v>42100</v>
      </c>
      <c r="I38" s="271">
        <f>IF(B38=C38,'INPUT FIELDS'!AD55," ")</f>
        <v>42095</v>
      </c>
      <c r="J38" s="271">
        <f>IF(B38=C38,'INPUT FIELDS'!AE55," ")</f>
        <v>42095</v>
      </c>
      <c r="K38" s="271">
        <f>IF(B38=C38,'INPUT FIELDS'!AF55," ")</f>
        <v>42095</v>
      </c>
      <c r="L38" s="271">
        <f>IF(B38=C38,'INPUT FIELDS'!AG55," ")</f>
        <v>42094</v>
      </c>
      <c r="M38" s="271" t="str">
        <f>IF(B38=C38,'INPUT FIELDS'!AH55," ")</f>
        <v>NA</v>
      </c>
      <c r="N38" s="270">
        <f>IF(B38=C38,'INPUT FIELDS'!AI55," ")</f>
        <v>2014</v>
      </c>
      <c r="O38" s="271">
        <f>IF(B38=C38,'INPUT FIELDS'!AJ55," ")</f>
        <v>0</v>
      </c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</row>
    <row r="39" spans="1:34" s="280" customFormat="1" ht="4.5">
      <c r="A39" s="279"/>
      <c r="B39" s="279"/>
      <c r="F39" s="281"/>
      <c r="G39" s="281"/>
      <c r="H39" s="281"/>
      <c r="I39" s="281"/>
      <c r="J39" s="281"/>
      <c r="K39" s="281"/>
      <c r="L39" s="281"/>
      <c r="M39" s="281"/>
      <c r="O39" s="281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  <c r="AA39" s="279"/>
      <c r="AB39" s="279"/>
      <c r="AC39" s="279"/>
      <c r="AD39" s="279"/>
      <c r="AE39" s="279"/>
      <c r="AF39" s="279"/>
      <c r="AG39" s="279"/>
      <c r="AH39" s="279"/>
    </row>
    <row r="40" spans="1:34" s="283" customFormat="1">
      <c r="A40" s="282"/>
      <c r="B40" s="282">
        <v>11</v>
      </c>
      <c r="C40" s="268">
        <f>'COMPUTATION SHEET'!E44</f>
        <v>11</v>
      </c>
      <c r="D40" s="269" t="str">
        <f>'COMPUTATION SHEET'!F44</f>
        <v>ARCALES, DOMINGO JR JADLOC</v>
      </c>
      <c r="E40" s="270">
        <f>IF(B40=C40,'INPUT FIELDS'!Z57," ")</f>
        <v>0</v>
      </c>
      <c r="F40" s="271">
        <f>IF(B40=C40,'INPUT FIELDS'!AA57," ")</f>
        <v>42100</v>
      </c>
      <c r="G40" s="271">
        <f>IF(B40=C40,'INPUT FIELDS'!AB57," ")</f>
        <v>42100</v>
      </c>
      <c r="H40" s="271">
        <f>IF(B40=C40,'INPUT FIELDS'!AC57," ")</f>
        <v>42095</v>
      </c>
      <c r="I40" s="271">
        <f>IF(B40=C40,'INPUT FIELDS'!AD57," ")</f>
        <v>42093</v>
      </c>
      <c r="J40" s="271">
        <f>IF(B40=C40,'INPUT FIELDS'!AE57," ")</f>
        <v>42093</v>
      </c>
      <c r="K40" s="271">
        <f>IF(B40=C40,'INPUT FIELDS'!AF57," ")</f>
        <v>42093</v>
      </c>
      <c r="L40" s="271">
        <f>IF(B40=C40,'INPUT FIELDS'!AG57," ")</f>
        <v>42095</v>
      </c>
      <c r="M40" s="271" t="str">
        <f>IF(B40=C40,'INPUT FIELDS'!AH57," ")</f>
        <v>NA</v>
      </c>
      <c r="N40" s="270">
        <f>IF(B40=C40,'INPUT FIELDS'!AI57," ")</f>
        <v>2014</v>
      </c>
      <c r="O40" s="271">
        <f>IF(B40=C40,'INPUT FIELDS'!AJ57," ")</f>
        <v>0</v>
      </c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</row>
    <row r="41" spans="1:34" s="280" customFormat="1" ht="4.5">
      <c r="A41" s="279"/>
      <c r="B41" s="279"/>
      <c r="F41" s="281"/>
      <c r="G41" s="281"/>
      <c r="H41" s="281"/>
      <c r="I41" s="281"/>
      <c r="J41" s="281"/>
      <c r="K41" s="281"/>
      <c r="L41" s="281"/>
      <c r="M41" s="281"/>
      <c r="O41" s="281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79"/>
      <c r="AH41" s="279"/>
    </row>
    <row r="42" spans="1:34" s="283" customFormat="1">
      <c r="A42" s="282"/>
      <c r="B42" s="282">
        <v>12</v>
      </c>
      <c r="C42" s="268">
        <f>'COMPUTATION SHEET'!E46</f>
        <v>12</v>
      </c>
      <c r="D42" s="269" t="str">
        <f>'COMPUTATION SHEET'!F46</f>
        <v>GACELOS, REBECCA TILLES</v>
      </c>
      <c r="E42" s="270">
        <f>IF(B42=C42,'INPUT FIELDS'!Z59," ")</f>
        <v>0</v>
      </c>
      <c r="F42" s="271">
        <f>IF(B42=C42,'INPUT FIELDS'!AA59," ")</f>
        <v>42101</v>
      </c>
      <c r="G42" s="271">
        <f>IF(B42=C42,'INPUT FIELDS'!AB59," ")</f>
        <v>42100</v>
      </c>
      <c r="H42" s="271">
        <f>IF(B42=C42,'INPUT FIELDS'!AC59," ")</f>
        <v>42100</v>
      </c>
      <c r="I42" s="271">
        <f>IF(B42=C42,'INPUT FIELDS'!AD59," ")</f>
        <v>42093</v>
      </c>
      <c r="J42" s="271">
        <f>IF(B42=C42,'INPUT FIELDS'!AE59," ")</f>
        <v>42093</v>
      </c>
      <c r="K42" s="271">
        <f>IF(B42=C42,'INPUT FIELDS'!AF59," ")</f>
        <v>42100</v>
      </c>
      <c r="L42" s="271">
        <f>IF(B42=C42,'INPUT FIELDS'!AG59," ")</f>
        <v>42093</v>
      </c>
      <c r="M42" s="271" t="str">
        <f>IF(B42=C42,'INPUT FIELDS'!AH59," ")</f>
        <v>NA</v>
      </c>
      <c r="N42" s="270">
        <f>IF(B42=C42,'INPUT FIELDS'!AI59," ")</f>
        <v>2014</v>
      </c>
      <c r="O42" s="271">
        <f>IF(B42=C42,'INPUT FIELDS'!AJ59," ")</f>
        <v>0</v>
      </c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</row>
    <row r="43" spans="1:34" s="280" customFormat="1" ht="4.5">
      <c r="A43" s="279"/>
      <c r="B43" s="279"/>
      <c r="F43" s="281"/>
      <c r="G43" s="281"/>
      <c r="H43" s="281"/>
      <c r="I43" s="281"/>
      <c r="J43" s="281"/>
      <c r="K43" s="281"/>
      <c r="L43" s="281"/>
      <c r="M43" s="281"/>
      <c r="O43" s="281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79"/>
      <c r="AH43" s="279"/>
    </row>
    <row r="44" spans="1:34" s="283" customFormat="1">
      <c r="A44" s="282"/>
      <c r="B44" s="282">
        <v>13</v>
      </c>
      <c r="C44" s="268">
        <f>'COMPUTATION SHEET'!E48</f>
        <v>13</v>
      </c>
      <c r="D44" s="269" t="str">
        <f>'COMPUTATION SHEET'!F48</f>
        <v>TONELETE, NARCISA  CAMUIN</v>
      </c>
      <c r="E44" s="270">
        <f>IF(B44=C44,'INPUT FIELDS'!Z61," ")</f>
        <v>0</v>
      </c>
      <c r="F44" s="271">
        <f>IF(B44=C44,'INPUT FIELDS'!AA61," ")</f>
        <v>42100</v>
      </c>
      <c r="G44" s="271">
        <f>IF(B44=C44,'INPUT FIELDS'!AB61," ")</f>
        <v>42093</v>
      </c>
      <c r="H44" s="271">
        <f>IF(B44=C44,'INPUT FIELDS'!AC61," ")</f>
        <v>42087</v>
      </c>
      <c r="I44" s="271">
        <f>IF(B44=C44,'INPUT FIELDS'!AD61," ")</f>
        <v>42087</v>
      </c>
      <c r="J44" s="271">
        <f>IF(B44=C44,'INPUT FIELDS'!AE61," ")</f>
        <v>42087</v>
      </c>
      <c r="K44" s="271">
        <f>IF(B44=C44,'INPUT FIELDS'!AF61," ")</f>
        <v>42086</v>
      </c>
      <c r="L44" s="271">
        <f>IF(B44=C44,'INPUT FIELDS'!AG61," ")</f>
        <v>42087</v>
      </c>
      <c r="M44" s="271" t="str">
        <f>IF(B44=C44,'INPUT FIELDS'!AH61," ")</f>
        <v>NA</v>
      </c>
      <c r="N44" s="270">
        <f>IF(B44=C44,'INPUT FIELDS'!AI61," ")</f>
        <v>2014</v>
      </c>
      <c r="O44" s="271">
        <f>IF(B44=C44,'INPUT FIELDS'!AJ61," ")</f>
        <v>0</v>
      </c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</row>
    <row r="45" spans="1:34" s="280" customFormat="1" ht="4.5">
      <c r="A45" s="279"/>
      <c r="B45" s="279"/>
      <c r="F45" s="281"/>
      <c r="G45" s="281"/>
      <c r="H45" s="281"/>
      <c r="I45" s="281"/>
      <c r="J45" s="281"/>
      <c r="K45" s="281"/>
      <c r="L45" s="281"/>
      <c r="M45" s="281"/>
      <c r="O45" s="281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  <c r="AA45" s="279"/>
      <c r="AB45" s="279"/>
      <c r="AC45" s="279"/>
      <c r="AD45" s="279"/>
      <c r="AE45" s="279"/>
      <c r="AF45" s="279"/>
      <c r="AG45" s="279"/>
      <c r="AH45" s="279"/>
    </row>
    <row r="46" spans="1:34" s="283" customFormat="1">
      <c r="A46" s="282"/>
      <c r="B46" s="282">
        <v>14</v>
      </c>
      <c r="C46" s="268">
        <f>'COMPUTATION SHEET'!E50</f>
        <v>14</v>
      </c>
      <c r="D46" s="269" t="str">
        <f>'COMPUTATION SHEET'!F50</f>
        <v>GABON, MA WINONA CON UI</v>
      </c>
      <c r="E46" s="270">
        <f>IF(B46=C46,'INPUT FIELDS'!Z63," ")</f>
        <v>0</v>
      </c>
      <c r="F46" s="271">
        <f>IF(B46=C46,'INPUT FIELDS'!AA63," ")</f>
        <v>42100</v>
      </c>
      <c r="G46" s="271">
        <f>IF(B46=C46,'INPUT FIELDS'!AB63," ")</f>
        <v>42093</v>
      </c>
      <c r="H46" s="271">
        <f>IF(B46=C46,'INPUT FIELDS'!AC63," ")</f>
        <v>42086</v>
      </c>
      <c r="I46" s="271">
        <f>IF(B46=C46,'INPUT FIELDS'!AD63," ")</f>
        <v>42086</v>
      </c>
      <c r="J46" s="271">
        <f>IF(B46=C46,'INPUT FIELDS'!AE63," ")</f>
        <v>42086</v>
      </c>
      <c r="K46" s="271">
        <f>IF(B46=C46,'INPUT FIELDS'!AF63," ")</f>
        <v>42088</v>
      </c>
      <c r="L46" s="271">
        <f>IF(B46=C46,'INPUT FIELDS'!AG63," ")</f>
        <v>42086</v>
      </c>
      <c r="M46" s="271" t="str">
        <f>IF(B46=C46,'INPUT FIELDS'!AH63," ")</f>
        <v>NA</v>
      </c>
      <c r="N46" s="270">
        <f>IF(B46=C46,'INPUT FIELDS'!AI63," ")</f>
        <v>2014</v>
      </c>
      <c r="O46" s="271">
        <f>IF(B46=C46,'INPUT FIELDS'!AJ63," ")</f>
        <v>0</v>
      </c>
      <c r="P46" s="282"/>
      <c r="Q46" s="282"/>
      <c r="R46" s="282"/>
      <c r="S46" s="282"/>
      <c r="T46" s="282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</row>
    <row r="47" spans="1:34" s="280" customFormat="1" ht="4.5">
      <c r="A47" s="279"/>
      <c r="B47" s="279"/>
      <c r="F47" s="281"/>
      <c r="G47" s="281"/>
      <c r="H47" s="281"/>
      <c r="I47" s="281"/>
      <c r="J47" s="281"/>
      <c r="K47" s="281"/>
      <c r="L47" s="281"/>
      <c r="M47" s="281"/>
      <c r="O47" s="281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  <c r="AA47" s="279"/>
      <c r="AB47" s="279"/>
      <c r="AC47" s="279"/>
      <c r="AD47" s="279"/>
      <c r="AE47" s="279"/>
      <c r="AF47" s="279"/>
      <c r="AG47" s="279"/>
      <c r="AH47" s="279"/>
    </row>
    <row r="48" spans="1:34" s="283" customFormat="1">
      <c r="A48" s="282"/>
      <c r="B48" s="282">
        <v>15</v>
      </c>
      <c r="C48" s="268" t="str">
        <f>'COMPUTATION SHEET'!E52</f>
        <v xml:space="preserve"> </v>
      </c>
      <c r="D48" s="269" t="str">
        <f>'COMPUTATION SHEET'!F52</f>
        <v xml:space="preserve"> </v>
      </c>
      <c r="E48" s="270" t="str">
        <f>IF(B48=C48,'INPUT FIELDS'!Z65," ")</f>
        <v xml:space="preserve"> </v>
      </c>
      <c r="F48" s="271" t="str">
        <f>IF(B48=C48,'INPUT FIELDS'!AA65," ")</f>
        <v xml:space="preserve"> </v>
      </c>
      <c r="G48" s="271" t="str">
        <f>IF(B48=C48,'INPUT FIELDS'!AB65," ")</f>
        <v xml:space="preserve"> </v>
      </c>
      <c r="H48" s="271" t="str">
        <f>IF(B48=C48,'INPUT FIELDS'!AC65," ")</f>
        <v xml:space="preserve"> </v>
      </c>
      <c r="I48" s="271" t="str">
        <f>IF(B48=C48,'INPUT FIELDS'!AD65," ")</f>
        <v xml:space="preserve"> </v>
      </c>
      <c r="J48" s="271" t="str">
        <f>IF(B48=C48,'INPUT FIELDS'!AE65," ")</f>
        <v xml:space="preserve"> </v>
      </c>
      <c r="K48" s="271" t="str">
        <f>IF(B48=C48,'INPUT FIELDS'!AF65," ")</f>
        <v xml:space="preserve"> </v>
      </c>
      <c r="L48" s="271" t="str">
        <f>IF(B48=C48,'INPUT FIELDS'!AG65," ")</f>
        <v xml:space="preserve"> </v>
      </c>
      <c r="M48" s="271" t="str">
        <f>IF(B48=C48,'INPUT FIELDS'!AH65," ")</f>
        <v xml:space="preserve"> </v>
      </c>
      <c r="N48" s="270" t="str">
        <f>IF(B48=C48,'INPUT FIELDS'!AI65," ")</f>
        <v xml:space="preserve"> </v>
      </c>
      <c r="O48" s="271" t="str">
        <f>IF(B48=C48,'INPUT FIELDS'!AJ65," ")</f>
        <v xml:space="preserve"> </v>
      </c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4" s="280" customFormat="1" ht="4.5">
      <c r="A49" s="279"/>
      <c r="B49" s="279"/>
      <c r="F49" s="281"/>
      <c r="G49" s="281"/>
      <c r="H49" s="281"/>
      <c r="I49" s="281"/>
      <c r="J49" s="281"/>
      <c r="K49" s="281"/>
      <c r="L49" s="281"/>
      <c r="M49" s="281"/>
      <c r="O49" s="281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  <c r="AC49" s="279"/>
      <c r="AD49" s="279"/>
      <c r="AE49" s="279"/>
      <c r="AF49" s="279"/>
      <c r="AG49" s="279"/>
      <c r="AH49" s="279"/>
    </row>
    <row r="50" spans="1:34" s="283" customFormat="1">
      <c r="A50" s="282"/>
      <c r="B50" s="282">
        <v>16</v>
      </c>
      <c r="C50" s="268" t="str">
        <f>'COMPUTATION SHEET'!E54</f>
        <v xml:space="preserve"> </v>
      </c>
      <c r="D50" s="269" t="str">
        <f>'COMPUTATION SHEET'!F54</f>
        <v xml:space="preserve"> </v>
      </c>
      <c r="E50" s="270" t="str">
        <f>IF(B50=C50,'INPUT FIELDS'!Z67," ")</f>
        <v xml:space="preserve"> </v>
      </c>
      <c r="F50" s="271" t="str">
        <f>IF(B50=C50,'INPUT FIELDS'!AA67," ")</f>
        <v xml:space="preserve"> </v>
      </c>
      <c r="G50" s="271" t="str">
        <f>IF(B50=C50,'INPUT FIELDS'!AB67," ")</f>
        <v xml:space="preserve"> </v>
      </c>
      <c r="H50" s="271" t="str">
        <f>IF(B50=C50,'INPUT FIELDS'!AC67," ")</f>
        <v xml:space="preserve"> </v>
      </c>
      <c r="I50" s="271" t="str">
        <f>IF(B50=C50,'INPUT FIELDS'!AD67," ")</f>
        <v xml:space="preserve"> </v>
      </c>
      <c r="J50" s="271" t="str">
        <f>IF(B50=C50,'INPUT FIELDS'!AE67," ")</f>
        <v xml:space="preserve"> </v>
      </c>
      <c r="K50" s="271" t="str">
        <f>IF(B50=C50,'INPUT FIELDS'!AF67," ")</f>
        <v xml:space="preserve"> </v>
      </c>
      <c r="L50" s="271" t="str">
        <f>IF(B50=C50,'INPUT FIELDS'!AG67," ")</f>
        <v xml:space="preserve"> </v>
      </c>
      <c r="M50" s="271" t="str">
        <f>IF(B50=C50,'INPUT FIELDS'!AH67," ")</f>
        <v xml:space="preserve"> </v>
      </c>
      <c r="N50" s="270" t="str">
        <f>IF(B50=C50,'INPUT FIELDS'!AI67," ")</f>
        <v xml:space="preserve"> </v>
      </c>
      <c r="O50" s="271" t="str">
        <f>IF(B50=C50,'INPUT FIELDS'!AJ67," ")</f>
        <v xml:space="preserve"> </v>
      </c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4" s="280" customFormat="1" ht="4.5">
      <c r="A51" s="279"/>
      <c r="B51" s="279"/>
      <c r="F51" s="281"/>
      <c r="G51" s="281"/>
      <c r="H51" s="281"/>
      <c r="I51" s="281"/>
      <c r="J51" s="281"/>
      <c r="K51" s="281"/>
      <c r="L51" s="281"/>
      <c r="M51" s="281"/>
      <c r="O51" s="281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  <c r="AA51" s="279"/>
      <c r="AB51" s="279"/>
      <c r="AC51" s="279"/>
      <c r="AD51" s="279"/>
      <c r="AE51" s="279"/>
      <c r="AF51" s="279"/>
      <c r="AG51" s="279"/>
      <c r="AH51" s="279"/>
    </row>
    <row r="52" spans="1:34" s="283" customFormat="1">
      <c r="A52" s="282"/>
      <c r="B52" s="282">
        <v>17</v>
      </c>
      <c r="C52" s="268" t="str">
        <f>'COMPUTATION SHEET'!E56</f>
        <v xml:space="preserve"> </v>
      </c>
      <c r="D52" s="269" t="str">
        <f>'COMPUTATION SHEET'!F56</f>
        <v xml:space="preserve"> </v>
      </c>
      <c r="E52" s="270" t="str">
        <f>IF(B52=C52,'INPUT FIELDS'!Z69," ")</f>
        <v xml:space="preserve"> </v>
      </c>
      <c r="F52" s="271" t="str">
        <f>IF(B52=C52,'INPUT FIELDS'!AA69," ")</f>
        <v xml:space="preserve"> </v>
      </c>
      <c r="G52" s="271" t="str">
        <f>IF(B52=C52,'INPUT FIELDS'!AB69," ")</f>
        <v xml:space="preserve"> </v>
      </c>
      <c r="H52" s="271" t="str">
        <f>IF(B52=C52,'INPUT FIELDS'!AC69," ")</f>
        <v xml:space="preserve"> </v>
      </c>
      <c r="I52" s="271" t="str">
        <f>IF(B52=C52,'INPUT FIELDS'!AD69," ")</f>
        <v xml:space="preserve"> </v>
      </c>
      <c r="J52" s="271" t="str">
        <f>IF(B52=C52,'INPUT FIELDS'!AE69," ")</f>
        <v xml:space="preserve"> </v>
      </c>
      <c r="K52" s="271" t="str">
        <f>IF(B52=C52,'INPUT FIELDS'!AF69," ")</f>
        <v xml:space="preserve"> </v>
      </c>
      <c r="L52" s="271" t="str">
        <f>IF(B52=C52,'INPUT FIELDS'!AG69," ")</f>
        <v xml:space="preserve"> </v>
      </c>
      <c r="M52" s="271" t="str">
        <f>IF(B52=C52,'INPUT FIELDS'!AH69," ")</f>
        <v xml:space="preserve"> </v>
      </c>
      <c r="N52" s="270" t="str">
        <f>IF(B52=C52,'INPUT FIELDS'!AI69," ")</f>
        <v xml:space="preserve"> </v>
      </c>
      <c r="O52" s="271" t="str">
        <f>IF(B52=C52,'INPUT FIELDS'!AJ69," ")</f>
        <v xml:space="preserve"> </v>
      </c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</row>
    <row r="53" spans="1:34" s="280" customFormat="1" ht="4.5">
      <c r="A53" s="279"/>
      <c r="B53" s="279"/>
      <c r="F53" s="281"/>
      <c r="G53" s="281"/>
      <c r="H53" s="281"/>
      <c r="I53" s="281"/>
      <c r="J53" s="281"/>
      <c r="K53" s="281"/>
      <c r="L53" s="281"/>
      <c r="M53" s="281"/>
      <c r="O53" s="281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  <c r="AA53" s="279"/>
      <c r="AB53" s="279"/>
      <c r="AC53" s="279"/>
      <c r="AD53" s="279"/>
      <c r="AE53" s="279"/>
      <c r="AF53" s="279"/>
      <c r="AG53" s="279"/>
      <c r="AH53" s="279"/>
    </row>
    <row r="54" spans="1:34" s="283" customFormat="1">
      <c r="A54" s="282"/>
      <c r="B54" s="282">
        <v>18</v>
      </c>
      <c r="C54" s="268" t="str">
        <f>'COMPUTATION SHEET'!E58</f>
        <v xml:space="preserve"> </v>
      </c>
      <c r="D54" s="269" t="str">
        <f>'COMPUTATION SHEET'!F58</f>
        <v xml:space="preserve"> </v>
      </c>
      <c r="E54" s="270" t="str">
        <f>IF(B54=C54,'INPUT FIELDS'!Z71," ")</f>
        <v xml:space="preserve"> </v>
      </c>
      <c r="F54" s="271" t="str">
        <f>IF(B54=C54,'INPUT FIELDS'!AA71," ")</f>
        <v xml:space="preserve"> </v>
      </c>
      <c r="G54" s="271" t="str">
        <f>IF(B54=C54,'INPUT FIELDS'!AB71," ")</f>
        <v xml:space="preserve"> </v>
      </c>
      <c r="H54" s="271" t="str">
        <f>IF(B54=C54,'INPUT FIELDS'!AC71," ")</f>
        <v xml:space="preserve"> </v>
      </c>
      <c r="I54" s="271" t="str">
        <f>IF(B54=C54,'INPUT FIELDS'!AD71," ")</f>
        <v xml:space="preserve"> </v>
      </c>
      <c r="J54" s="271" t="str">
        <f>IF(B54=C54,'INPUT FIELDS'!AE71," ")</f>
        <v xml:space="preserve"> </v>
      </c>
      <c r="K54" s="271" t="str">
        <f>IF(B54=C54,'INPUT FIELDS'!AF71," ")</f>
        <v xml:space="preserve"> </v>
      </c>
      <c r="L54" s="271" t="str">
        <f>IF(B54=C54,'INPUT FIELDS'!AG71," ")</f>
        <v xml:space="preserve"> </v>
      </c>
      <c r="M54" s="271" t="str">
        <f>IF(B54=C54,'INPUT FIELDS'!AH71," ")</f>
        <v xml:space="preserve"> </v>
      </c>
      <c r="N54" s="270" t="str">
        <f>IF(B54=C54,'INPUT FIELDS'!AI71," ")</f>
        <v xml:space="preserve"> </v>
      </c>
      <c r="O54" s="271" t="str">
        <f>IF(B54=C54,'INPUT FIELDS'!AJ71," ")</f>
        <v xml:space="preserve"> </v>
      </c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</row>
    <row r="55" spans="1:34" s="280" customFormat="1" ht="4.5">
      <c r="A55" s="279"/>
      <c r="B55" s="279"/>
      <c r="F55" s="281"/>
      <c r="G55" s="281"/>
      <c r="H55" s="281"/>
      <c r="I55" s="281"/>
      <c r="J55" s="281"/>
      <c r="K55" s="281"/>
      <c r="L55" s="281"/>
      <c r="M55" s="281"/>
      <c r="O55" s="281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  <c r="AA55" s="279"/>
      <c r="AB55" s="279"/>
      <c r="AC55" s="279"/>
      <c r="AD55" s="279"/>
      <c r="AE55" s="279"/>
      <c r="AF55" s="279"/>
      <c r="AG55" s="279"/>
      <c r="AH55" s="279"/>
    </row>
    <row r="56" spans="1:34" s="283" customFormat="1">
      <c r="A56" s="282"/>
      <c r="B56" s="282">
        <v>19</v>
      </c>
      <c r="C56" s="268" t="str">
        <f>'COMPUTATION SHEET'!E60</f>
        <v xml:space="preserve"> </v>
      </c>
      <c r="D56" s="269" t="str">
        <f>'COMPUTATION SHEET'!F60</f>
        <v xml:space="preserve"> </v>
      </c>
      <c r="E56" s="270" t="str">
        <f>IF(B56=C56,'INPUT FIELDS'!Z73," ")</f>
        <v xml:space="preserve"> </v>
      </c>
      <c r="F56" s="271" t="str">
        <f>IF(B56=C56,'INPUT FIELDS'!AA73," ")</f>
        <v xml:space="preserve"> </v>
      </c>
      <c r="G56" s="271" t="str">
        <f>IF(B56=C56,'INPUT FIELDS'!AB73," ")</f>
        <v xml:space="preserve"> </v>
      </c>
      <c r="H56" s="271" t="str">
        <f>IF(B56=C56,'INPUT FIELDS'!AC73," ")</f>
        <v xml:space="preserve"> </v>
      </c>
      <c r="I56" s="271" t="str">
        <f>IF(B56=C56,'INPUT FIELDS'!AD73," ")</f>
        <v xml:space="preserve"> </v>
      </c>
      <c r="J56" s="271" t="str">
        <f>IF(B56=C56,'INPUT FIELDS'!AE73," ")</f>
        <v xml:space="preserve"> </v>
      </c>
      <c r="K56" s="271" t="str">
        <f>IF(B56=C56,'INPUT FIELDS'!AF73," ")</f>
        <v xml:space="preserve"> </v>
      </c>
      <c r="L56" s="271" t="str">
        <f>IF(B56=C56,'INPUT FIELDS'!AG73," ")</f>
        <v xml:space="preserve"> </v>
      </c>
      <c r="M56" s="271" t="str">
        <f>IF(B56=C56,'INPUT FIELDS'!AH73," ")</f>
        <v xml:space="preserve"> </v>
      </c>
      <c r="N56" s="270" t="str">
        <f>IF(B56=C56,'INPUT FIELDS'!AI73," ")</f>
        <v xml:space="preserve"> </v>
      </c>
      <c r="O56" s="271" t="str">
        <f>IF(B56=C56,'INPUT FIELDS'!AJ73," ")</f>
        <v xml:space="preserve"> </v>
      </c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</row>
    <row r="57" spans="1:34" s="280" customFormat="1" ht="4.5">
      <c r="A57" s="279"/>
      <c r="B57" s="279"/>
      <c r="F57" s="281"/>
      <c r="G57" s="281"/>
      <c r="H57" s="281"/>
      <c r="I57" s="281"/>
      <c r="J57" s="281"/>
      <c r="K57" s="281"/>
      <c r="L57" s="281"/>
      <c r="M57" s="281"/>
      <c r="O57" s="281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  <c r="AA57" s="279"/>
      <c r="AB57" s="279"/>
      <c r="AC57" s="279"/>
      <c r="AD57" s="279"/>
      <c r="AE57" s="279"/>
      <c r="AF57" s="279"/>
      <c r="AG57" s="279"/>
      <c r="AH57" s="279"/>
    </row>
    <row r="58" spans="1:34" s="283" customFormat="1">
      <c r="A58" s="282"/>
      <c r="B58" s="282">
        <v>20</v>
      </c>
      <c r="C58" s="268" t="str">
        <f>'COMPUTATION SHEET'!E62</f>
        <v xml:space="preserve"> </v>
      </c>
      <c r="D58" s="269" t="str">
        <f>'COMPUTATION SHEET'!F62</f>
        <v xml:space="preserve"> </v>
      </c>
      <c r="E58" s="270" t="str">
        <f>IF(B58=C58,'INPUT FIELDS'!Z75," ")</f>
        <v xml:space="preserve"> </v>
      </c>
      <c r="F58" s="271" t="str">
        <f>IF(B58=C58,'INPUT FIELDS'!AA75," ")</f>
        <v xml:space="preserve"> </v>
      </c>
      <c r="G58" s="271" t="str">
        <f>IF(B58=C58,'INPUT FIELDS'!AB75," ")</f>
        <v xml:space="preserve"> </v>
      </c>
      <c r="H58" s="271" t="str">
        <f>IF(B58=C58,'INPUT FIELDS'!AC75," ")</f>
        <v xml:space="preserve"> </v>
      </c>
      <c r="I58" s="271" t="str">
        <f>IF(B58=C58,'INPUT FIELDS'!AD75," ")</f>
        <v xml:space="preserve"> </v>
      </c>
      <c r="J58" s="271" t="str">
        <f>IF(B58=C58,'INPUT FIELDS'!AE75," ")</f>
        <v xml:space="preserve"> </v>
      </c>
      <c r="K58" s="271" t="str">
        <f>IF(B58=C58,'INPUT FIELDS'!AF75," ")</f>
        <v xml:space="preserve"> </v>
      </c>
      <c r="L58" s="271" t="str">
        <f>IF(B58=C58,'INPUT FIELDS'!AG75," ")</f>
        <v xml:space="preserve"> </v>
      </c>
      <c r="M58" s="271" t="str">
        <f>IF(B58=C58,'INPUT FIELDS'!AH75," ")</f>
        <v xml:space="preserve"> </v>
      </c>
      <c r="N58" s="270" t="str">
        <f>IF(B58=C58,'INPUT FIELDS'!AI75," ")</f>
        <v xml:space="preserve"> </v>
      </c>
      <c r="O58" s="271" t="str">
        <f>IF(B58=C58,'INPUT FIELDS'!AJ75," ")</f>
        <v xml:space="preserve"> </v>
      </c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</row>
    <row r="59" spans="1:34" s="283" customFormat="1" ht="15" thickBot="1">
      <c r="A59" s="282"/>
      <c r="B59" s="282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82"/>
      <c r="AB59" s="282"/>
      <c r="AC59" s="282"/>
      <c r="AD59" s="282"/>
      <c r="AE59" s="282"/>
      <c r="AF59" s="282"/>
      <c r="AG59" s="282"/>
      <c r="AH59" s="282"/>
    </row>
    <row r="60" spans="1:34" ht="15" thickTop="1"/>
    <row r="61" spans="1:34">
      <c r="D61" s="262" t="str">
        <f>Signatories!C9</f>
        <v>JANICE B. SOLAYAO</v>
      </c>
      <c r="E61" t="s">
        <v>141</v>
      </c>
      <c r="I61" s="262" t="str">
        <f>Signatories!C11</f>
        <v>SM HELBERT ANTOINE A. ACHAY</v>
      </c>
      <c r="M61" t="s">
        <v>142</v>
      </c>
    </row>
    <row r="62" spans="1:34">
      <c r="D62" t="s">
        <v>295</v>
      </c>
      <c r="I62" t="s">
        <v>294</v>
      </c>
    </row>
    <row r="63" spans="1:34">
      <c r="D63" t="s">
        <v>140</v>
      </c>
      <c r="I63" t="s">
        <v>140</v>
      </c>
    </row>
    <row r="64" spans="1:34" s="138" customFormat="1"/>
  </sheetData>
  <mergeCells count="13">
    <mergeCell ref="C11:O11"/>
    <mergeCell ref="H15:J17"/>
    <mergeCell ref="K15:K18"/>
    <mergeCell ref="L15:L18"/>
    <mergeCell ref="N15:N18"/>
    <mergeCell ref="M16:M18"/>
    <mergeCell ref="E16:F18"/>
    <mergeCell ref="C15:D19"/>
    <mergeCell ref="E15:F15"/>
    <mergeCell ref="G15:G18"/>
    <mergeCell ref="O16:O18"/>
    <mergeCell ref="C13:K13"/>
    <mergeCell ref="L13:O13"/>
  </mergeCells>
  <phoneticPr fontId="0" type="noConversion"/>
  <pageMargins left="0.25" right="0.25" top="0.32" bottom="0.21" header="0.3" footer="0.3"/>
  <pageSetup paperSize="5" scale="70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FFFF00"/>
  </sheetPr>
  <dimension ref="A1:AC64"/>
  <sheetViews>
    <sheetView zoomScale="80" zoomScaleNormal="80" workbookViewId="0">
      <selection activeCell="C20" sqref="C20"/>
    </sheetView>
  </sheetViews>
  <sheetFormatPr defaultColWidth="9.1796875" defaultRowHeight="14.5" outlineLevelRow="1"/>
  <cols>
    <col min="1" max="1" width="9.1796875" style="138"/>
    <col min="2" max="2" width="38.26953125" bestFit="1" customWidth="1"/>
    <col min="3" max="3" width="16.81640625" bestFit="1" customWidth="1"/>
    <col min="4" max="4" width="10.7265625" bestFit="1" customWidth="1"/>
    <col min="5" max="5" width="13" customWidth="1"/>
    <col min="6" max="6" width="14" customWidth="1"/>
    <col min="7" max="7" width="33.1796875" bestFit="1" customWidth="1"/>
    <col min="8" max="8" width="59.81640625" bestFit="1" customWidth="1"/>
    <col min="9" max="9" width="28.26953125" bestFit="1" customWidth="1"/>
    <col min="10" max="10" width="11.1796875" bestFit="1" customWidth="1"/>
    <col min="11" max="29" width="9.1796875" style="138"/>
  </cols>
  <sheetData>
    <row r="1" spans="1:10">
      <c r="B1" s="138"/>
      <c r="C1" s="138"/>
      <c r="D1" s="138"/>
      <c r="E1" s="138"/>
      <c r="F1" s="138"/>
      <c r="G1" s="138"/>
      <c r="H1" s="138"/>
      <c r="I1" s="138"/>
      <c r="J1" s="138"/>
    </row>
    <row r="2" spans="1:10">
      <c r="B2" s="138"/>
      <c r="C2" s="138"/>
      <c r="D2" s="138"/>
      <c r="E2" s="138"/>
      <c r="F2" s="138"/>
      <c r="G2" s="138"/>
      <c r="H2" s="138"/>
      <c r="I2" s="138"/>
      <c r="J2" s="138"/>
    </row>
    <row r="3" spans="1:10">
      <c r="B3" t="s">
        <v>17</v>
      </c>
      <c r="H3" t="s">
        <v>143</v>
      </c>
    </row>
    <row r="4" spans="1:10">
      <c r="B4" t="s">
        <v>144</v>
      </c>
      <c r="C4" t="str">
        <f>Signatories!C13</f>
        <v>CATBALOGAN</v>
      </c>
    </row>
    <row r="5" spans="1:10">
      <c r="B5" t="s">
        <v>146</v>
      </c>
      <c r="C5" t="str">
        <f>Signatories!C15</f>
        <v>EASTERN VISAYAS</v>
      </c>
    </row>
    <row r="6" spans="1:10">
      <c r="B6" t="s">
        <v>148</v>
      </c>
      <c r="C6" s="277">
        <f>'INPUT FIELDS'!D24</f>
        <v>42094</v>
      </c>
    </row>
    <row r="8" spans="1:10">
      <c r="B8" t="s">
        <v>149</v>
      </c>
    </row>
    <row r="10" spans="1:10">
      <c r="B10" t="s">
        <v>150</v>
      </c>
    </row>
    <row r="11" spans="1:10">
      <c r="B11" t="s">
        <v>151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</row>
    <row r="12" spans="1:10">
      <c r="A12" s="138">
        <v>1</v>
      </c>
      <c r="B12" t="str">
        <f>'INPUT FIELDS'!AM37</f>
        <v>MARIA EMY</v>
      </c>
      <c r="C12" t="str">
        <f>'INPUT FIELDS'!AN37</f>
        <v>TAN</v>
      </c>
      <c r="D12" t="str">
        <f>'INPUT FIELDS'!AL37</f>
        <v>RABADAM</v>
      </c>
      <c r="E12" s="278">
        <f>'INPUT FIELDS'!AR37</f>
        <v>29144</v>
      </c>
      <c r="F12">
        <f>'INPUT FIELDS'!AQ37</f>
        <v>943994147</v>
      </c>
      <c r="G12" t="str">
        <f>'INPUT FIELDS'!AO37</f>
        <v>ARNEL B RABADAM</v>
      </c>
      <c r="H12" t="str">
        <f>'INPUT FIELDS'!AP37</f>
        <v>202 CURRY AVENUE CATBALOGAN CITY SAMAR</v>
      </c>
      <c r="I12" t="str">
        <f>'INPUT FIELDS'!AS37</f>
        <v>PROVINCE OF SAMAR1</v>
      </c>
      <c r="J12" t="str">
        <f>'INPUT FIELDS'!AT37</f>
        <v>DBP</v>
      </c>
    </row>
    <row r="13" spans="1:10" hidden="1" outlineLevel="1">
      <c r="E13" s="278"/>
    </row>
    <row r="14" spans="1:10" collapsed="1">
      <c r="A14" s="138">
        <v>2</v>
      </c>
      <c r="B14" t="str">
        <f>'INPUT FIELDS'!AM39</f>
        <v>ALLAN</v>
      </c>
      <c r="C14" t="str">
        <f>'INPUT FIELDS'!AN39</f>
        <v>GULFERIC</v>
      </c>
      <c r="D14" t="str">
        <f>'INPUT FIELDS'!AL39</f>
        <v>LEJAS</v>
      </c>
      <c r="E14" s="278">
        <f>'INPUT FIELDS'!AR39</f>
        <v>30469</v>
      </c>
      <c r="F14">
        <f>'INPUT FIELDS'!AQ39</f>
        <v>273165815</v>
      </c>
      <c r="G14" t="str">
        <f>'INPUT FIELDS'!AO39</f>
        <v>MARIAN DAGANZO LEJAS</v>
      </c>
      <c r="H14" t="str">
        <f>'INPUT FIELDS'!AP39</f>
        <v>PUROK 1 BRGY CANLAPWAS CATBALOGAN CITY SAMAR</v>
      </c>
      <c r="I14" t="str">
        <f>'INPUT FIELDS'!AS39</f>
        <v>PROVINCE OF SAMAR2</v>
      </c>
      <c r="J14" t="str">
        <f>'INPUT FIELDS'!AT39</f>
        <v>DBP</v>
      </c>
    </row>
    <row r="15" spans="1:10" hidden="1" outlineLevel="1">
      <c r="E15" s="278"/>
    </row>
    <row r="16" spans="1:10" collapsed="1">
      <c r="A16" s="138">
        <v>3</v>
      </c>
      <c r="B16" t="str">
        <f>'INPUT FIELDS'!AM41</f>
        <v>JOSE JR</v>
      </c>
      <c r="C16" t="str">
        <f>'INPUT FIELDS'!AN41</f>
        <v>ADESAS</v>
      </c>
      <c r="D16" t="str">
        <f>'INPUT FIELDS'!AL41</f>
        <v>NUNEZ</v>
      </c>
      <c r="E16" s="278">
        <f>'INPUT FIELDS'!AR41</f>
        <v>112566</v>
      </c>
      <c r="F16">
        <f>'INPUT FIELDS'!AQ41</f>
        <v>184693732</v>
      </c>
      <c r="G16" t="str">
        <f>'INPUT FIELDS'!AO41</f>
        <v>ERLINDA BACUETES NUNEZ</v>
      </c>
      <c r="H16" t="str">
        <f>'INPUT FIELDS'!AP41</f>
        <v>352 RIZAL AVENUE BRGY 12 CATBALOGAN CITY SAMAR</v>
      </c>
      <c r="I16" t="str">
        <f>'INPUT FIELDS'!AS41</f>
        <v>PROVINCE OF SAMAR3</v>
      </c>
      <c r="J16" t="str">
        <f>'INPUT FIELDS'!AT41</f>
        <v>DBP</v>
      </c>
    </row>
    <row r="17" spans="1:10" hidden="1" outlineLevel="1">
      <c r="E17" s="278"/>
    </row>
    <row r="18" spans="1:10" collapsed="1">
      <c r="A18" s="138">
        <v>4</v>
      </c>
      <c r="B18" t="str">
        <f>'INPUT FIELDS'!AM43</f>
        <v>NESTOR</v>
      </c>
      <c r="C18" t="str">
        <f>'INPUT FIELDS'!AN43</f>
        <v>PELENO</v>
      </c>
      <c r="D18" t="str">
        <f>'INPUT FIELDS'!AL43</f>
        <v>LIMA</v>
      </c>
      <c r="E18" s="278">
        <f>'INPUT FIELDS'!AR43</f>
        <v>20219</v>
      </c>
      <c r="F18">
        <f>'INPUT FIELDS'!AQ43</f>
        <v>130157835</v>
      </c>
      <c r="G18" t="str">
        <f>'INPUT FIELDS'!AO43</f>
        <v>MARY GEN ISANAN LIMA</v>
      </c>
      <c r="H18" t="str">
        <f>'INPUT FIELDS'!AP43</f>
        <v>PATONG STREET BRGY GUINSORONGAN CATBALOGAN CITY</v>
      </c>
      <c r="I18" t="str">
        <f>'INPUT FIELDS'!AS43</f>
        <v>PROVINCE OF SAMAR4</v>
      </c>
      <c r="J18" t="str">
        <f>'INPUT FIELDS'!AT43</f>
        <v>DBP</v>
      </c>
    </row>
    <row r="19" spans="1:10" hidden="1" outlineLevel="1">
      <c r="E19" s="278"/>
    </row>
    <row r="20" spans="1:10" collapsed="1">
      <c r="A20" s="138">
        <v>5</v>
      </c>
      <c r="B20" t="str">
        <f>'INPUT FIELDS'!AM45</f>
        <v>MARCIANO JR</v>
      </c>
      <c r="C20" t="str">
        <f>'INPUT FIELDS'!AN45</f>
        <v>HERNANDEZ</v>
      </c>
      <c r="D20" t="str">
        <f>'INPUT FIELDS'!AL45</f>
        <v>ALEGRIA</v>
      </c>
      <c r="E20" s="278">
        <f>'INPUT FIELDS'!AR45</f>
        <v>26900</v>
      </c>
      <c r="F20">
        <f>'INPUT FIELDS'!AQ45</f>
        <v>905838005</v>
      </c>
      <c r="G20" t="str">
        <f>'INPUT FIELDS'!AO45</f>
        <v>MARILYN SOLAYAO ALEGRIA</v>
      </c>
      <c r="H20" t="str">
        <f>'INPUT FIELDS'!AP45</f>
        <v>P2 BRGY JIA AN JIABONG SAMAR</v>
      </c>
      <c r="I20" t="str">
        <f>'INPUT FIELDS'!AS45</f>
        <v>PROVINCE OF SAMAR5</v>
      </c>
      <c r="J20" t="str">
        <f>'INPUT FIELDS'!AT45</f>
        <v>DBP</v>
      </c>
    </row>
    <row r="21" spans="1:10" hidden="1" outlineLevel="1">
      <c r="E21" s="278"/>
    </row>
    <row r="22" spans="1:10" collapsed="1">
      <c r="A22" s="138">
        <v>6</v>
      </c>
      <c r="B22" t="str">
        <f>'INPUT FIELDS'!AM47</f>
        <v>MANOLITO</v>
      </c>
      <c r="C22" t="str">
        <f>'INPUT FIELDS'!AN47</f>
        <v>ABARRACOSO</v>
      </c>
      <c r="D22" t="str">
        <f>'INPUT FIELDS'!AL47</f>
        <v>GACELOS</v>
      </c>
      <c r="E22" s="278">
        <f>'INPUT FIELDS'!AR47</f>
        <v>28260</v>
      </c>
      <c r="F22">
        <f>'INPUT FIELDS'!AQ47</f>
        <v>400532413</v>
      </c>
      <c r="G22" t="str">
        <f>'INPUT FIELDS'!AO47</f>
        <v>CHERIE N GACELOS</v>
      </c>
      <c r="H22" t="str">
        <f>'INPUT FIELDS'!AP47</f>
        <v>BRGY RAWIS HINABANGAN SAMAR</v>
      </c>
      <c r="I22" t="str">
        <f>'INPUT FIELDS'!AS47</f>
        <v>PROVINCE OF SAMAR6</v>
      </c>
      <c r="J22" t="str">
        <f>'INPUT FIELDS'!AT47</f>
        <v>DBP</v>
      </c>
    </row>
    <row r="23" spans="1:10" hidden="1" outlineLevel="1">
      <c r="E23" s="278"/>
    </row>
    <row r="24" spans="1:10" collapsed="1">
      <c r="A24" s="138">
        <v>7</v>
      </c>
      <c r="B24" t="str">
        <f>'INPUT FIELDS'!AM49</f>
        <v>LEONILA</v>
      </c>
      <c r="C24" t="str">
        <f>'INPUT FIELDS'!AN49</f>
        <v>HILONGO</v>
      </c>
      <c r="D24" t="str">
        <f>'INPUT FIELDS'!AL49</f>
        <v>GONZALES</v>
      </c>
      <c r="E24" s="278">
        <f>'INPUT FIELDS'!AR49</f>
        <v>20852</v>
      </c>
      <c r="F24">
        <f>'INPUT FIELDS'!AQ49</f>
        <v>129842327</v>
      </c>
      <c r="G24">
        <f>'INPUT FIELDS'!AO49</f>
        <v>0</v>
      </c>
      <c r="H24" t="str">
        <f>'INPUT FIELDS'!AP49</f>
        <v>BRGY SAN JOSE ALMAGRO WESTERN SAMAR</v>
      </c>
      <c r="I24" t="str">
        <f>'INPUT FIELDS'!AS49</f>
        <v>PROVINCE OF SAMAR7</v>
      </c>
      <c r="J24" t="str">
        <f>'INPUT FIELDS'!AT49</f>
        <v>DBP</v>
      </c>
    </row>
    <row r="25" spans="1:10" hidden="1" outlineLevel="1">
      <c r="E25" s="278"/>
    </row>
    <row r="26" spans="1:10" collapsed="1">
      <c r="A26" s="138">
        <v>8</v>
      </c>
      <c r="B26" t="str">
        <f>'INPUT FIELDS'!AM51</f>
        <v>CHONA</v>
      </c>
      <c r="C26" t="str">
        <f>'INPUT FIELDS'!AN51</f>
        <v>BRANZUELA</v>
      </c>
      <c r="D26" t="str">
        <f>'INPUT FIELDS'!AL51</f>
        <v>MAYOR</v>
      </c>
      <c r="E26" s="278">
        <f>'INPUT FIELDS'!AR51</f>
        <v>24599</v>
      </c>
      <c r="F26">
        <f>'INPUT FIELDS'!AQ51</f>
        <v>947543937</v>
      </c>
      <c r="G26" t="str">
        <f>'INPUT FIELDS'!AO51</f>
        <v>VENG JAYCO B MAYOR</v>
      </c>
      <c r="H26" t="str">
        <f>'INPUT FIELDS'!AP51</f>
        <v>BRGY PANJOBJOBAN ALMAGRO SAMAR</v>
      </c>
      <c r="I26" t="str">
        <f>'INPUT FIELDS'!AS51</f>
        <v>PROVINCE OF SAMAR4</v>
      </c>
      <c r="J26" t="str">
        <f>'INPUT FIELDS'!AT51</f>
        <v>DBP</v>
      </c>
    </row>
    <row r="27" spans="1:10" hidden="1" outlineLevel="1">
      <c r="E27" s="278"/>
    </row>
    <row r="28" spans="1:10" collapsed="1">
      <c r="A28" s="138">
        <v>9</v>
      </c>
      <c r="B28" t="str">
        <f>'INPUT FIELDS'!AM53</f>
        <v>JONAS</v>
      </c>
      <c r="C28" t="str">
        <f>'INPUT FIELDS'!AN53</f>
        <v>ABELIDO</v>
      </c>
      <c r="D28" t="str">
        <f>'INPUT FIELDS'!AL53</f>
        <v>YBOA</v>
      </c>
      <c r="E28" s="278">
        <f>'INPUT FIELDS'!AR53</f>
        <v>25868</v>
      </c>
      <c r="F28">
        <f>'INPUT FIELDS'!AQ53</f>
        <v>174344327</v>
      </c>
      <c r="G28" t="str">
        <f>'INPUT FIELDS'!AO53</f>
        <v>NANCY ALBOS YBOA</v>
      </c>
      <c r="H28" t="str">
        <f>'INPUT FIELDS'!AP53</f>
        <v>5TH ST COR BANOYO ST BRGY 10 CATBALOGAN CITY SAMAR</v>
      </c>
      <c r="I28" t="str">
        <f>'INPUT FIELDS'!AS53</f>
        <v>PROVINCE OF SAMAR9</v>
      </c>
      <c r="J28" t="str">
        <f>'INPUT FIELDS'!AT53</f>
        <v>DBP</v>
      </c>
    </row>
    <row r="29" spans="1:10" hidden="1" outlineLevel="1">
      <c r="E29" s="278"/>
    </row>
    <row r="30" spans="1:10" collapsed="1">
      <c r="A30" s="138">
        <v>10</v>
      </c>
      <c r="B30" t="str">
        <f>'INPUT FIELDS'!AM55</f>
        <v>RUBIA</v>
      </c>
      <c r="C30" t="str">
        <f>'INPUT FIELDS'!AN55</f>
        <v>ABARCAR</v>
      </c>
      <c r="D30" t="str">
        <f>'INPUT FIELDS'!AL55</f>
        <v>GONZALES</v>
      </c>
      <c r="E30" s="278">
        <f>'INPUT FIELDS'!AR55</f>
        <v>22656</v>
      </c>
      <c r="F30">
        <f>'INPUT FIELDS'!AQ55</f>
        <v>166545733</v>
      </c>
      <c r="G30" t="str">
        <f>'INPUT FIELDS'!AO55</f>
        <v>NELSON VILLANUEVA GONZALES</v>
      </c>
      <c r="H30" t="str">
        <f>'INPUT FIELDS'!AP55</f>
        <v>NO 20 B 2 LOT 8  BLISS CANLAPWAS CATBALOGAN CITY</v>
      </c>
      <c r="I30" t="str">
        <f>'INPUT FIELDS'!AS55</f>
        <v>PROVINCE OF SAMAR10</v>
      </c>
      <c r="J30" t="str">
        <f>'INPUT FIELDS'!AT55</f>
        <v>DBP</v>
      </c>
    </row>
    <row r="31" spans="1:10" hidden="1" outlineLevel="1">
      <c r="E31" s="278"/>
    </row>
    <row r="32" spans="1:10" collapsed="1">
      <c r="A32" s="138">
        <v>11</v>
      </c>
      <c r="B32" t="str">
        <f>'INPUT FIELDS'!AM57</f>
        <v>DOMINGO JR</v>
      </c>
      <c r="C32" t="str">
        <f>'INPUT FIELDS'!AN57</f>
        <v>JADLOC</v>
      </c>
      <c r="D32" t="str">
        <f>'INPUT FIELDS'!AL57</f>
        <v>ARCALES</v>
      </c>
      <c r="E32" s="278">
        <f>'INPUT FIELDS'!AR57</f>
        <v>24098</v>
      </c>
      <c r="F32">
        <f>'INPUT FIELDS'!AQ57</f>
        <v>914894035</v>
      </c>
      <c r="G32">
        <f>'INPUT FIELDS'!AO57</f>
        <v>0</v>
      </c>
      <c r="H32" t="str">
        <f>'INPUT FIELDS'!AP57</f>
        <v>491 PUROK 3 BRGY MERCEDES CATBALOGAN CITY</v>
      </c>
      <c r="I32" t="str">
        <f>'INPUT FIELDS'!AS57</f>
        <v>PROVINCE OF SAMAR11</v>
      </c>
      <c r="J32" t="str">
        <f>'INPUT FIELDS'!AT57</f>
        <v>DBP</v>
      </c>
    </row>
    <row r="33" spans="1:10" hidden="1" outlineLevel="1">
      <c r="E33" s="278"/>
    </row>
    <row r="34" spans="1:10" collapsed="1">
      <c r="A34" s="138">
        <v>12</v>
      </c>
      <c r="B34" t="str">
        <f>'INPUT FIELDS'!AM59</f>
        <v>REBECCA</v>
      </c>
      <c r="C34" t="str">
        <f>'INPUT FIELDS'!AN59</f>
        <v>TILLES</v>
      </c>
      <c r="D34" t="str">
        <f>'INPUT FIELDS'!AL59</f>
        <v>GACELOS</v>
      </c>
      <c r="E34" s="278">
        <f>'INPUT FIELDS'!AR59</f>
        <v>19920</v>
      </c>
      <c r="F34">
        <f>'INPUT FIELDS'!AQ59</f>
        <v>131439004</v>
      </c>
      <c r="G34">
        <f>'INPUT FIELDS'!AO59</f>
        <v>0</v>
      </c>
      <c r="H34" t="str">
        <f>'INPUT FIELDS'!AP59</f>
        <v>117 P 2 BRGY MAULONG CATBALOGAN CITY SAMAR</v>
      </c>
      <c r="I34" t="str">
        <f>'INPUT FIELDS'!AS59</f>
        <v>PROVINCE OF SAMAR12</v>
      </c>
      <c r="J34" t="str">
        <f>'INPUT FIELDS'!AT59</f>
        <v>DBP</v>
      </c>
    </row>
    <row r="35" spans="1:10" hidden="1" outlineLevel="1">
      <c r="E35" s="278"/>
    </row>
    <row r="36" spans="1:10" collapsed="1">
      <c r="A36" s="138">
        <v>13</v>
      </c>
      <c r="B36" t="str">
        <f>'INPUT FIELDS'!AM61</f>
        <v xml:space="preserve">NARCISA </v>
      </c>
      <c r="C36" t="str">
        <f>'INPUT FIELDS'!AN61</f>
        <v>CAMUIN</v>
      </c>
      <c r="D36" t="str">
        <f>'INPUT FIELDS'!AL61</f>
        <v>TONELETE</v>
      </c>
      <c r="E36" s="278">
        <f>'INPUT FIELDS'!AR61</f>
        <v>21917</v>
      </c>
      <c r="F36">
        <f>'INPUT FIELDS'!AQ61</f>
        <v>133458617</v>
      </c>
      <c r="G36" t="str">
        <f>'INPUT FIELDS'!AO61</f>
        <v>ANTONIO DETALO TONELETE</v>
      </c>
      <c r="H36" t="str">
        <f>'INPUT FIELDS'!AP61</f>
        <v>270 BRGY MAULONG CATBALOGAN CITY SAMAR</v>
      </c>
      <c r="I36" t="str">
        <f>'INPUT FIELDS'!AS61</f>
        <v>PROVINCE OF SAMAR13</v>
      </c>
      <c r="J36" t="str">
        <f>'INPUT FIELDS'!AT61</f>
        <v>DBP</v>
      </c>
    </row>
    <row r="37" spans="1:10" hidden="1" outlineLevel="1">
      <c r="E37" s="278"/>
    </row>
    <row r="38" spans="1:10" collapsed="1">
      <c r="A38" s="138">
        <v>14</v>
      </c>
      <c r="B38" t="str">
        <f>'INPUT FIELDS'!AM63</f>
        <v>MA WINONA</v>
      </c>
      <c r="C38" t="str">
        <f>'INPUT FIELDS'!AN63</f>
        <v>CON UI</v>
      </c>
      <c r="D38" t="str">
        <f>'INPUT FIELDS'!AL63</f>
        <v>GABON</v>
      </c>
      <c r="E38" s="278">
        <f>'INPUT FIELDS'!AR63</f>
        <v>25812</v>
      </c>
      <c r="F38">
        <f>'INPUT FIELDS'!AQ63</f>
        <v>178650362</v>
      </c>
      <c r="G38" t="str">
        <f>'INPUT FIELDS'!AO63</f>
        <v>ALEJANDRO CUNA GABON</v>
      </c>
      <c r="H38" t="str">
        <f>'INPUT FIELDS'!AP63</f>
        <v>451 GABON BLVD BRGY 3 PARANAS WRIGHT SAMAR</v>
      </c>
      <c r="I38" t="str">
        <f>'INPUT FIELDS'!AS63</f>
        <v>PROVINCE OF SAMAR14</v>
      </c>
      <c r="J38" t="str">
        <f>'INPUT FIELDS'!AT63</f>
        <v>DBP</v>
      </c>
    </row>
    <row r="39" spans="1:10" hidden="1" outlineLevel="1">
      <c r="E39" s="278"/>
    </row>
    <row r="40" spans="1:10" collapsed="1">
      <c r="A40" s="138">
        <v>15</v>
      </c>
      <c r="B40">
        <f>'INPUT FIELDS'!AM65</f>
        <v>0</v>
      </c>
      <c r="C40">
        <f>'INPUT FIELDS'!AN65</f>
        <v>0</v>
      </c>
      <c r="D40">
        <f>'INPUT FIELDS'!AL65</f>
        <v>0</v>
      </c>
      <c r="E40" s="278">
        <f>'INPUT FIELDS'!AR65</f>
        <v>0</v>
      </c>
      <c r="F40">
        <f>'INPUT FIELDS'!AQ65</f>
        <v>0</v>
      </c>
      <c r="G40">
        <f>'INPUT FIELDS'!AO65</f>
        <v>0</v>
      </c>
      <c r="H40">
        <f>'INPUT FIELDS'!AP65</f>
        <v>0</v>
      </c>
      <c r="I40">
        <f>'INPUT FIELDS'!AS65</f>
        <v>0</v>
      </c>
      <c r="J40" t="str">
        <f>'INPUT FIELDS'!AT65</f>
        <v>DBP</v>
      </c>
    </row>
    <row r="41" spans="1:10" hidden="1" outlineLevel="1">
      <c r="E41" s="278"/>
    </row>
    <row r="42" spans="1:10" collapsed="1">
      <c r="A42" s="138">
        <v>16</v>
      </c>
      <c r="B42">
        <f>'INPUT FIELDS'!AM67</f>
        <v>0</v>
      </c>
      <c r="C42">
        <f>'INPUT FIELDS'!AN67</f>
        <v>0</v>
      </c>
      <c r="D42">
        <f>'INPUT FIELDS'!AL67</f>
        <v>0</v>
      </c>
      <c r="E42" s="278">
        <f>'INPUT FIELDS'!AR67</f>
        <v>0</v>
      </c>
      <c r="F42">
        <f>'INPUT FIELDS'!AQ67</f>
        <v>0</v>
      </c>
      <c r="G42">
        <f>'INPUT FIELDS'!AO67</f>
        <v>0</v>
      </c>
      <c r="H42">
        <f>'INPUT FIELDS'!AP67</f>
        <v>0</v>
      </c>
      <c r="I42">
        <f>'INPUT FIELDS'!AS67</f>
        <v>0</v>
      </c>
      <c r="J42" t="str">
        <f>'INPUT FIELDS'!AT67</f>
        <v>DBP</v>
      </c>
    </row>
    <row r="43" spans="1:10" hidden="1" outlineLevel="1">
      <c r="E43" s="278"/>
    </row>
    <row r="44" spans="1:10" collapsed="1">
      <c r="A44" s="138">
        <v>17</v>
      </c>
      <c r="B44">
        <f>'INPUT FIELDS'!AM69</f>
        <v>0</v>
      </c>
      <c r="C44">
        <f>'INPUT FIELDS'!AN69</f>
        <v>0</v>
      </c>
      <c r="D44">
        <f>'INPUT FIELDS'!AL69</f>
        <v>0</v>
      </c>
      <c r="E44" s="278">
        <f>'INPUT FIELDS'!AR69</f>
        <v>0</v>
      </c>
      <c r="F44">
        <f>'INPUT FIELDS'!AQ69</f>
        <v>0</v>
      </c>
      <c r="G44">
        <f>'INPUT FIELDS'!AO69</f>
        <v>0</v>
      </c>
      <c r="H44">
        <f>'INPUT FIELDS'!AP69</f>
        <v>0</v>
      </c>
      <c r="I44">
        <f>'INPUT FIELDS'!AS69</f>
        <v>0</v>
      </c>
      <c r="J44" t="str">
        <f>'INPUT FIELDS'!AT69</f>
        <v>DBP</v>
      </c>
    </row>
    <row r="45" spans="1:10" hidden="1" outlineLevel="1">
      <c r="E45" s="278"/>
    </row>
    <row r="46" spans="1:10" collapsed="1">
      <c r="A46" s="138">
        <v>18</v>
      </c>
      <c r="B46">
        <f>'INPUT FIELDS'!AM71</f>
        <v>0</v>
      </c>
      <c r="C46">
        <f>'INPUT FIELDS'!AN71</f>
        <v>0</v>
      </c>
      <c r="D46">
        <f>'INPUT FIELDS'!AL71</f>
        <v>0</v>
      </c>
      <c r="E46" s="278">
        <f>'INPUT FIELDS'!AR71</f>
        <v>0</v>
      </c>
      <c r="F46">
        <f>'INPUT FIELDS'!AQ71</f>
        <v>0</v>
      </c>
      <c r="G46">
        <f>'INPUT FIELDS'!AO71</f>
        <v>0</v>
      </c>
      <c r="H46">
        <f>'INPUT FIELDS'!AP71</f>
        <v>0</v>
      </c>
      <c r="I46">
        <f>'INPUT FIELDS'!AS71</f>
        <v>0</v>
      </c>
      <c r="J46" t="str">
        <f>'INPUT FIELDS'!AT71</f>
        <v>DBP</v>
      </c>
    </row>
    <row r="47" spans="1:10" hidden="1" outlineLevel="1">
      <c r="E47" s="278"/>
    </row>
    <row r="48" spans="1:10" collapsed="1">
      <c r="A48" s="138">
        <v>19</v>
      </c>
      <c r="B48">
        <f>'INPUT FIELDS'!AM73</f>
        <v>0</v>
      </c>
      <c r="C48">
        <f>'INPUT FIELDS'!AN73</f>
        <v>0</v>
      </c>
      <c r="D48">
        <f>'INPUT FIELDS'!AL73</f>
        <v>0</v>
      </c>
      <c r="E48" s="278">
        <f>'INPUT FIELDS'!AR73</f>
        <v>0</v>
      </c>
      <c r="F48">
        <f>'INPUT FIELDS'!AQ73</f>
        <v>0</v>
      </c>
      <c r="G48">
        <f>'INPUT FIELDS'!AO73</f>
        <v>0</v>
      </c>
      <c r="H48">
        <f>'INPUT FIELDS'!AP73</f>
        <v>0</v>
      </c>
      <c r="I48">
        <f>'INPUT FIELDS'!AS73</f>
        <v>0</v>
      </c>
      <c r="J48" t="str">
        <f>'INPUT FIELDS'!AT73</f>
        <v>DBP</v>
      </c>
    </row>
    <row r="49" spans="1:10" hidden="1" outlineLevel="1">
      <c r="E49" s="278"/>
    </row>
    <row r="50" spans="1:10" collapsed="1">
      <c r="A50" s="138">
        <v>20</v>
      </c>
      <c r="B50">
        <f>'INPUT FIELDS'!AM75</f>
        <v>0</v>
      </c>
      <c r="C50">
        <f>'INPUT FIELDS'!AN75</f>
        <v>0</v>
      </c>
      <c r="D50">
        <f>'INPUT FIELDS'!AL75</f>
        <v>0</v>
      </c>
      <c r="E50" s="278">
        <f>'INPUT FIELDS'!AR75</f>
        <v>0</v>
      </c>
      <c r="F50">
        <f>'INPUT FIELDS'!AQ75</f>
        <v>0</v>
      </c>
      <c r="G50">
        <f>'INPUT FIELDS'!AO75</f>
        <v>0</v>
      </c>
      <c r="H50">
        <f>'INPUT FIELDS'!AP75</f>
        <v>0</v>
      </c>
      <c r="I50">
        <f>'INPUT FIELDS'!AS75</f>
        <v>0</v>
      </c>
      <c r="J50" t="str">
        <f>'INPUT FIELDS'!AT75</f>
        <v>DBP</v>
      </c>
    </row>
    <row r="51" spans="1:10">
      <c r="B51" t="s">
        <v>161</v>
      </c>
    </row>
    <row r="53" spans="1:10">
      <c r="D53" t="s">
        <v>162</v>
      </c>
      <c r="E53" t="s">
        <v>163</v>
      </c>
    </row>
    <row r="54" spans="1:10">
      <c r="E54" t="s">
        <v>164</v>
      </c>
    </row>
    <row r="55" spans="1:10">
      <c r="E55" t="s">
        <v>165</v>
      </c>
    </row>
    <row r="56" spans="1:10">
      <c r="E56" t="s">
        <v>166</v>
      </c>
    </row>
    <row r="57" spans="1:10">
      <c r="E57" t="s">
        <v>167</v>
      </c>
    </row>
    <row r="59" spans="1:10">
      <c r="B59" t="s">
        <v>168</v>
      </c>
      <c r="F59" t="s">
        <v>169</v>
      </c>
    </row>
    <row r="62" spans="1:10">
      <c r="B62" t="str">
        <f>Signatories!C9</f>
        <v>JANICE B. SOLAYAO</v>
      </c>
      <c r="F62" t="str">
        <f>Signatories!C11</f>
        <v>SM HELBERT ANTOINE A. ACHAY</v>
      </c>
    </row>
    <row r="63" spans="1:10">
      <c r="B63" t="s">
        <v>296</v>
      </c>
      <c r="F63" t="s">
        <v>297</v>
      </c>
    </row>
    <row r="64" spans="1:10">
      <c r="B64" s="138"/>
      <c r="C64" s="138"/>
      <c r="D64" s="138"/>
      <c r="E64" s="138"/>
      <c r="F64" s="138"/>
      <c r="G64" s="138"/>
      <c r="H64" s="138"/>
      <c r="I64" s="138"/>
      <c r="J64" s="138"/>
    </row>
  </sheetData>
  <phoneticPr fontId="0" type="noConversion"/>
  <pageMargins left="0.25" right="0.25" top="0.75" bottom="0.75" header="0.3" footer="0.3"/>
  <pageSetup paperSize="5" scale="78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/>
  <dimension ref="A2:K85"/>
  <sheetViews>
    <sheetView topLeftCell="A19" workbookViewId="0">
      <selection activeCell="B24" sqref="B24"/>
    </sheetView>
  </sheetViews>
  <sheetFormatPr defaultRowHeight="14.5"/>
  <cols>
    <col min="1" max="1" width="5.1796875" customWidth="1"/>
    <col min="2" max="2" width="20.1796875" bestFit="1" customWidth="1"/>
    <col min="3" max="3" width="14.81640625" bestFit="1" customWidth="1"/>
    <col min="4" max="4" width="13.453125" bestFit="1" customWidth="1"/>
    <col min="5" max="5" width="11.26953125" bestFit="1" customWidth="1"/>
    <col min="6" max="6" width="11.1796875" customWidth="1"/>
    <col min="7" max="7" width="13" bestFit="1" customWidth="1"/>
    <col min="8" max="8" width="24.26953125" customWidth="1"/>
    <col min="10" max="10" width="11.81640625" customWidth="1"/>
    <col min="11" max="11" width="9.26953125" bestFit="1" customWidth="1"/>
  </cols>
  <sheetData>
    <row r="2" spans="1:11" ht="26.5" thickBot="1">
      <c r="A2" s="5">
        <v>3</v>
      </c>
      <c r="B2" s="725" t="s">
        <v>6</v>
      </c>
      <c r="C2" s="725"/>
      <c r="D2" s="725"/>
      <c r="E2" s="725"/>
      <c r="F2" s="725"/>
      <c r="G2" s="725"/>
      <c r="H2" s="725"/>
      <c r="J2" t="s">
        <v>13</v>
      </c>
    </row>
    <row r="3" spans="1:11">
      <c r="B3" s="726" t="s">
        <v>7</v>
      </c>
      <c r="C3" s="726"/>
      <c r="D3" s="726"/>
      <c r="E3" s="726"/>
      <c r="F3" s="726"/>
      <c r="G3" s="726"/>
      <c r="H3" s="726"/>
      <c r="J3" t="s">
        <v>11</v>
      </c>
      <c r="K3">
        <v>5.35</v>
      </c>
    </row>
    <row r="4" spans="1:11">
      <c r="B4" s="727" t="s">
        <v>15</v>
      </c>
      <c r="C4" s="727"/>
      <c r="D4" s="727"/>
      <c r="E4" s="727"/>
      <c r="F4" s="727"/>
      <c r="G4" s="727"/>
      <c r="H4" s="727"/>
      <c r="J4" t="s">
        <v>10</v>
      </c>
      <c r="K4">
        <v>6.58</v>
      </c>
    </row>
    <row r="5" spans="1:11">
      <c r="B5" s="728" t="s">
        <v>0</v>
      </c>
      <c r="C5" s="728" t="s">
        <v>1</v>
      </c>
      <c r="D5" s="728" t="s">
        <v>2</v>
      </c>
      <c r="E5" s="728" t="s">
        <v>3</v>
      </c>
      <c r="F5" s="728" t="s">
        <v>8</v>
      </c>
      <c r="G5" s="725" t="s">
        <v>9</v>
      </c>
      <c r="H5" s="725"/>
      <c r="J5" t="s">
        <v>12</v>
      </c>
      <c r="K5">
        <v>9.0399999999999991</v>
      </c>
    </row>
    <row r="6" spans="1:11">
      <c r="B6" s="728"/>
      <c r="C6" s="728"/>
      <c r="D6" s="728"/>
      <c r="E6" s="728"/>
      <c r="F6" s="728"/>
      <c r="G6" s="1" t="s">
        <v>4</v>
      </c>
      <c r="H6" s="1" t="s">
        <v>5</v>
      </c>
    </row>
    <row r="7" spans="1:11">
      <c r="B7" s="2"/>
      <c r="C7" s="2"/>
      <c r="D7" s="2"/>
      <c r="E7" s="2"/>
      <c r="F7" s="2"/>
      <c r="G7" s="2"/>
      <c r="H7" s="2"/>
    </row>
    <row r="8" spans="1:11">
      <c r="A8">
        <v>1</v>
      </c>
      <c r="B8" s="3">
        <v>48000</v>
      </c>
      <c r="C8" s="3">
        <f>-PMT(12.651%/12,36,B8)</f>
        <v>1609.2526903445325</v>
      </c>
      <c r="D8" s="3">
        <f>(B8/1000)*9.04</f>
        <v>433.91999999999996</v>
      </c>
      <c r="E8" s="4">
        <f>0.01*B8</f>
        <v>480</v>
      </c>
      <c r="F8" s="3">
        <f>IF(B8&lt;250000,0,B8/200)</f>
        <v>0</v>
      </c>
      <c r="G8" s="4">
        <f>B8-D8-E8-F8</f>
        <v>47086.080000000002</v>
      </c>
      <c r="H8" s="4">
        <f>B8-D8-E8-F8-(2*C8)</f>
        <v>43867.574619310937</v>
      </c>
      <c r="J8" s="13">
        <f>C8*2</f>
        <v>3218.5053806890651</v>
      </c>
    </row>
    <row r="9" spans="1:11">
      <c r="A9">
        <v>2</v>
      </c>
      <c r="B9" s="3">
        <v>20000</v>
      </c>
      <c r="C9" s="3">
        <f>-PMT(12.651%/12,36,B9)</f>
        <v>670.52195431022199</v>
      </c>
      <c r="D9" s="3">
        <f t="shared" ref="D9:D72" si="0">(B9/1000)*9.04</f>
        <v>180.79999999999998</v>
      </c>
      <c r="E9" s="4">
        <f t="shared" ref="E9:E72" si="1">0.01*B9</f>
        <v>200</v>
      </c>
      <c r="F9" s="3">
        <f t="shared" ref="F9:F72" si="2">IF(B9&lt;250000,0,B9/200)</f>
        <v>0</v>
      </c>
      <c r="G9" s="4">
        <f t="shared" ref="G9:G72" si="3">B9-D9-E9-F9</f>
        <v>19619.2</v>
      </c>
      <c r="H9" s="4">
        <f t="shared" ref="H9:H72" si="4">B9-D9-E9-F9-(2*C9)</f>
        <v>18278.156091379558</v>
      </c>
    </row>
    <row r="10" spans="1:11">
      <c r="A10">
        <v>3</v>
      </c>
      <c r="B10" s="3">
        <v>25000</v>
      </c>
      <c r="C10" s="3">
        <f t="shared" ref="C10:C73" si="5">-PMT(12.651%/12,36,B10)</f>
        <v>838.15244288777728</v>
      </c>
      <c r="D10" s="3">
        <f t="shared" si="0"/>
        <v>225.99999999999997</v>
      </c>
      <c r="E10" s="4">
        <f t="shared" si="1"/>
        <v>250</v>
      </c>
      <c r="F10" s="3">
        <f t="shared" si="2"/>
        <v>0</v>
      </c>
      <c r="G10" s="4">
        <f t="shared" si="3"/>
        <v>24524</v>
      </c>
      <c r="H10" s="4">
        <f t="shared" si="4"/>
        <v>22847.695114224447</v>
      </c>
    </row>
    <row r="11" spans="1:11">
      <c r="A11">
        <v>4</v>
      </c>
      <c r="B11" s="3">
        <v>30000</v>
      </c>
      <c r="C11" s="3">
        <f t="shared" si="5"/>
        <v>1005.7829314653329</v>
      </c>
      <c r="D11" s="3">
        <f t="shared" si="0"/>
        <v>271.2</v>
      </c>
      <c r="E11" s="4">
        <f t="shared" si="1"/>
        <v>300</v>
      </c>
      <c r="F11" s="3">
        <f t="shared" si="2"/>
        <v>0</v>
      </c>
      <c r="G11" s="4">
        <f t="shared" si="3"/>
        <v>29428.799999999999</v>
      </c>
      <c r="H11" s="4">
        <f t="shared" si="4"/>
        <v>27417.234137069332</v>
      </c>
    </row>
    <row r="12" spans="1:11">
      <c r="A12">
        <v>5</v>
      </c>
      <c r="B12" s="3">
        <v>35000</v>
      </c>
      <c r="C12" s="3">
        <f t="shared" si="5"/>
        <v>1173.4134200428884</v>
      </c>
      <c r="D12" s="3">
        <f t="shared" si="0"/>
        <v>316.39999999999998</v>
      </c>
      <c r="E12" s="4">
        <f t="shared" si="1"/>
        <v>350</v>
      </c>
      <c r="F12" s="3">
        <f t="shared" si="2"/>
        <v>0</v>
      </c>
      <c r="G12" s="4">
        <f t="shared" si="3"/>
        <v>34333.599999999999</v>
      </c>
      <c r="H12" s="4">
        <f t="shared" si="4"/>
        <v>31986.773159914221</v>
      </c>
    </row>
    <row r="13" spans="1:11">
      <c r="A13">
        <v>6</v>
      </c>
      <c r="B13" s="3">
        <v>40000</v>
      </c>
      <c r="C13" s="3">
        <f t="shared" si="5"/>
        <v>1341.043908620444</v>
      </c>
      <c r="D13" s="3">
        <f t="shared" si="0"/>
        <v>361.59999999999997</v>
      </c>
      <c r="E13" s="4">
        <f t="shared" si="1"/>
        <v>400</v>
      </c>
      <c r="F13" s="3">
        <f t="shared" si="2"/>
        <v>0</v>
      </c>
      <c r="G13" s="4">
        <f t="shared" si="3"/>
        <v>39238.400000000001</v>
      </c>
      <c r="H13" s="4">
        <f t="shared" si="4"/>
        <v>36556.312182759117</v>
      </c>
    </row>
    <row r="14" spans="1:11">
      <c r="A14">
        <v>7</v>
      </c>
      <c r="B14" s="3">
        <v>45000</v>
      </c>
      <c r="C14" s="3">
        <f t="shared" si="5"/>
        <v>1508.6743971979993</v>
      </c>
      <c r="D14" s="3">
        <f t="shared" si="0"/>
        <v>406.79999999999995</v>
      </c>
      <c r="E14" s="4">
        <f t="shared" si="1"/>
        <v>450</v>
      </c>
      <c r="F14" s="3">
        <f t="shared" si="2"/>
        <v>0</v>
      </c>
      <c r="G14" s="4">
        <f t="shared" si="3"/>
        <v>44143.199999999997</v>
      </c>
      <c r="H14" s="4">
        <f t="shared" si="4"/>
        <v>41125.851205603998</v>
      </c>
    </row>
    <row r="15" spans="1:11">
      <c r="A15">
        <v>8</v>
      </c>
      <c r="B15" s="3">
        <v>50000</v>
      </c>
      <c r="C15" s="3">
        <f t="shared" si="5"/>
        <v>1676.3048857755546</v>
      </c>
      <c r="D15" s="3">
        <f t="shared" si="0"/>
        <v>451.99999999999994</v>
      </c>
      <c r="E15" s="4">
        <f t="shared" si="1"/>
        <v>500</v>
      </c>
      <c r="F15" s="3">
        <f t="shared" si="2"/>
        <v>0</v>
      </c>
      <c r="G15" s="4">
        <f t="shared" si="3"/>
        <v>49048</v>
      </c>
      <c r="H15" s="4">
        <f t="shared" si="4"/>
        <v>45695.390228448894</v>
      </c>
    </row>
    <row r="16" spans="1:11">
      <c r="A16">
        <v>9</v>
      </c>
      <c r="B16" s="3">
        <v>55000</v>
      </c>
      <c r="C16" s="3">
        <f t="shared" si="5"/>
        <v>1843.9353743531101</v>
      </c>
      <c r="D16" s="3">
        <f t="shared" si="0"/>
        <v>497.19999999999993</v>
      </c>
      <c r="E16" s="4">
        <f t="shared" si="1"/>
        <v>550</v>
      </c>
      <c r="F16" s="3">
        <f t="shared" si="2"/>
        <v>0</v>
      </c>
      <c r="G16" s="4">
        <f t="shared" si="3"/>
        <v>53952.800000000003</v>
      </c>
      <c r="H16" s="4">
        <f t="shared" si="4"/>
        <v>50264.929251293783</v>
      </c>
    </row>
    <row r="17" spans="1:8">
      <c r="A17">
        <v>10</v>
      </c>
      <c r="B17" s="3">
        <v>60000</v>
      </c>
      <c r="C17" s="3">
        <f t="shared" si="5"/>
        <v>2011.5658629306658</v>
      </c>
      <c r="D17" s="3">
        <f t="shared" si="0"/>
        <v>542.4</v>
      </c>
      <c r="E17" s="4">
        <f t="shared" si="1"/>
        <v>600</v>
      </c>
      <c r="F17" s="3">
        <f t="shared" si="2"/>
        <v>0</v>
      </c>
      <c r="G17" s="4">
        <f t="shared" si="3"/>
        <v>58857.599999999999</v>
      </c>
      <c r="H17" s="4">
        <f t="shared" si="4"/>
        <v>54834.468274138664</v>
      </c>
    </row>
    <row r="18" spans="1:8">
      <c r="A18">
        <v>11</v>
      </c>
      <c r="B18" s="3">
        <v>65000</v>
      </c>
      <c r="C18" s="3">
        <f t="shared" si="5"/>
        <v>2179.1963515082211</v>
      </c>
      <c r="D18" s="3">
        <f t="shared" si="0"/>
        <v>587.59999999999991</v>
      </c>
      <c r="E18" s="4">
        <f t="shared" si="1"/>
        <v>650</v>
      </c>
      <c r="F18" s="3">
        <f t="shared" si="2"/>
        <v>0</v>
      </c>
      <c r="G18" s="4">
        <f t="shared" si="3"/>
        <v>63762.400000000001</v>
      </c>
      <c r="H18" s="4">
        <f t="shared" si="4"/>
        <v>59404.00729698356</v>
      </c>
    </row>
    <row r="19" spans="1:8">
      <c r="A19">
        <v>12</v>
      </c>
      <c r="B19" s="3">
        <v>70000</v>
      </c>
      <c r="C19" s="3">
        <f t="shared" si="5"/>
        <v>2346.8268400857769</v>
      </c>
      <c r="D19" s="3">
        <f t="shared" si="0"/>
        <v>632.79999999999995</v>
      </c>
      <c r="E19" s="4">
        <f t="shared" si="1"/>
        <v>700</v>
      </c>
      <c r="F19" s="3">
        <f t="shared" si="2"/>
        <v>0</v>
      </c>
      <c r="G19" s="4">
        <f t="shared" si="3"/>
        <v>68667.199999999997</v>
      </c>
      <c r="H19" s="4">
        <f t="shared" si="4"/>
        <v>63973.546319828441</v>
      </c>
    </row>
    <row r="20" spans="1:8">
      <c r="A20">
        <v>13</v>
      </c>
      <c r="B20" s="3">
        <v>75000</v>
      </c>
      <c r="C20" s="3">
        <f t="shared" si="5"/>
        <v>2514.4573286633322</v>
      </c>
      <c r="D20" s="3">
        <f t="shared" si="0"/>
        <v>677.99999999999989</v>
      </c>
      <c r="E20" s="4">
        <f t="shared" si="1"/>
        <v>750</v>
      </c>
      <c r="F20" s="3">
        <f t="shared" si="2"/>
        <v>0</v>
      </c>
      <c r="G20" s="4">
        <f t="shared" si="3"/>
        <v>73572</v>
      </c>
      <c r="H20" s="4">
        <f t="shared" si="4"/>
        <v>68543.085342673337</v>
      </c>
    </row>
    <row r="21" spans="1:8">
      <c r="A21">
        <v>14</v>
      </c>
      <c r="B21" s="3">
        <v>80000</v>
      </c>
      <c r="C21" s="3">
        <f t="shared" si="5"/>
        <v>2682.0878172408879</v>
      </c>
      <c r="D21" s="3">
        <f t="shared" si="0"/>
        <v>723.19999999999993</v>
      </c>
      <c r="E21" s="4">
        <f t="shared" si="1"/>
        <v>800</v>
      </c>
      <c r="F21" s="3">
        <f t="shared" si="2"/>
        <v>0</v>
      </c>
      <c r="G21" s="4">
        <f t="shared" si="3"/>
        <v>78476.800000000003</v>
      </c>
      <c r="H21" s="4">
        <f t="shared" si="4"/>
        <v>73112.624365518233</v>
      </c>
    </row>
    <row r="22" spans="1:8">
      <c r="A22">
        <v>15</v>
      </c>
      <c r="B22" s="3">
        <v>85000</v>
      </c>
      <c r="C22" s="3">
        <f t="shared" si="5"/>
        <v>2849.7183058184432</v>
      </c>
      <c r="D22" s="3">
        <f t="shared" si="0"/>
        <v>768.4</v>
      </c>
      <c r="E22" s="4">
        <f t="shared" si="1"/>
        <v>850</v>
      </c>
      <c r="F22" s="3">
        <f t="shared" si="2"/>
        <v>0</v>
      </c>
      <c r="G22" s="4">
        <f t="shared" si="3"/>
        <v>83381.600000000006</v>
      </c>
      <c r="H22" s="4">
        <f t="shared" si="4"/>
        <v>77682.163388363115</v>
      </c>
    </row>
    <row r="23" spans="1:8">
      <c r="A23">
        <v>16</v>
      </c>
      <c r="B23" s="3">
        <v>90000</v>
      </c>
      <c r="C23" s="3">
        <f t="shared" si="5"/>
        <v>3017.3487943959985</v>
      </c>
      <c r="D23" s="3">
        <f t="shared" si="0"/>
        <v>813.59999999999991</v>
      </c>
      <c r="E23" s="4">
        <f t="shared" si="1"/>
        <v>900</v>
      </c>
      <c r="F23" s="3">
        <f t="shared" si="2"/>
        <v>0</v>
      </c>
      <c r="G23" s="4">
        <f t="shared" si="3"/>
        <v>88286.399999999994</v>
      </c>
      <c r="H23" s="4">
        <f t="shared" si="4"/>
        <v>82251.702411207996</v>
      </c>
    </row>
    <row r="24" spans="1:8">
      <c r="A24">
        <v>17</v>
      </c>
      <c r="B24" s="3">
        <v>95000</v>
      </c>
      <c r="C24" s="3">
        <f t="shared" si="5"/>
        <v>3184.9792829735543</v>
      </c>
      <c r="D24" s="3">
        <f t="shared" si="0"/>
        <v>858.8</v>
      </c>
      <c r="E24" s="4">
        <f t="shared" si="1"/>
        <v>950</v>
      </c>
      <c r="F24" s="3">
        <f t="shared" si="2"/>
        <v>0</v>
      </c>
      <c r="G24" s="4">
        <f t="shared" si="3"/>
        <v>93191.2</v>
      </c>
      <c r="H24" s="4">
        <f t="shared" si="4"/>
        <v>86821.241434052892</v>
      </c>
    </row>
    <row r="25" spans="1:8">
      <c r="A25">
        <v>18</v>
      </c>
      <c r="B25" s="3">
        <v>100000</v>
      </c>
      <c r="C25" s="3">
        <f t="shared" si="5"/>
        <v>3352.6097715511091</v>
      </c>
      <c r="D25" s="3">
        <f t="shared" si="0"/>
        <v>903.99999999999989</v>
      </c>
      <c r="E25" s="4">
        <f t="shared" si="1"/>
        <v>1000</v>
      </c>
      <c r="F25" s="3">
        <f t="shared" si="2"/>
        <v>0</v>
      </c>
      <c r="G25" s="4">
        <f t="shared" si="3"/>
        <v>98096</v>
      </c>
      <c r="H25" s="4">
        <f t="shared" si="4"/>
        <v>91390.780456897788</v>
      </c>
    </row>
    <row r="26" spans="1:8">
      <c r="A26">
        <v>19</v>
      </c>
      <c r="B26" s="3">
        <v>105000</v>
      </c>
      <c r="C26" s="3">
        <f t="shared" si="5"/>
        <v>3520.2402601286649</v>
      </c>
      <c r="D26" s="3">
        <f t="shared" si="0"/>
        <v>949.19999999999993</v>
      </c>
      <c r="E26" s="4">
        <f t="shared" si="1"/>
        <v>1050</v>
      </c>
      <c r="F26" s="3">
        <f t="shared" si="2"/>
        <v>0</v>
      </c>
      <c r="G26" s="4">
        <f t="shared" si="3"/>
        <v>103000.8</v>
      </c>
      <c r="H26" s="4">
        <f t="shared" si="4"/>
        <v>95960.31947974267</v>
      </c>
    </row>
    <row r="27" spans="1:8">
      <c r="A27">
        <v>20</v>
      </c>
      <c r="B27" s="3">
        <v>110000</v>
      </c>
      <c r="C27" s="3">
        <f t="shared" si="5"/>
        <v>3687.8707487062202</v>
      </c>
      <c r="D27" s="3">
        <f t="shared" si="0"/>
        <v>994.39999999999986</v>
      </c>
      <c r="E27" s="4">
        <f t="shared" si="1"/>
        <v>1100</v>
      </c>
      <c r="F27" s="3">
        <f t="shared" si="2"/>
        <v>0</v>
      </c>
      <c r="G27" s="4">
        <f t="shared" si="3"/>
        <v>107905.60000000001</v>
      </c>
      <c r="H27" s="4">
        <f t="shared" si="4"/>
        <v>100529.85850258757</v>
      </c>
    </row>
    <row r="28" spans="1:8">
      <c r="A28">
        <v>21</v>
      </c>
      <c r="B28" s="3">
        <v>115000</v>
      </c>
      <c r="C28" s="3">
        <f t="shared" si="5"/>
        <v>3855.5012372837759</v>
      </c>
      <c r="D28" s="3">
        <f t="shared" si="0"/>
        <v>1039.5999999999999</v>
      </c>
      <c r="E28" s="4">
        <f t="shared" si="1"/>
        <v>1150</v>
      </c>
      <c r="F28" s="3">
        <f t="shared" si="2"/>
        <v>0</v>
      </c>
      <c r="G28" s="4">
        <f t="shared" si="3"/>
        <v>112810.4</v>
      </c>
      <c r="H28" s="4">
        <f t="shared" si="4"/>
        <v>105099.39752543245</v>
      </c>
    </row>
    <row r="29" spans="1:8">
      <c r="A29">
        <v>22</v>
      </c>
      <c r="B29" s="3">
        <v>120000</v>
      </c>
      <c r="C29" s="3">
        <f t="shared" si="5"/>
        <v>4023.1317258613317</v>
      </c>
      <c r="D29" s="3">
        <f t="shared" si="0"/>
        <v>1084.8</v>
      </c>
      <c r="E29" s="4">
        <f t="shared" si="1"/>
        <v>1200</v>
      </c>
      <c r="F29" s="3">
        <f t="shared" si="2"/>
        <v>0</v>
      </c>
      <c r="G29" s="4">
        <f t="shared" si="3"/>
        <v>117715.2</v>
      </c>
      <c r="H29" s="4">
        <f t="shared" si="4"/>
        <v>109668.93654827733</v>
      </c>
    </row>
    <row r="30" spans="1:8">
      <c r="A30">
        <v>23</v>
      </c>
      <c r="B30" s="3">
        <v>125000</v>
      </c>
      <c r="C30" s="3">
        <f t="shared" si="5"/>
        <v>4190.762214438887</v>
      </c>
      <c r="D30" s="3">
        <f t="shared" si="0"/>
        <v>1130</v>
      </c>
      <c r="E30" s="4">
        <f t="shared" si="1"/>
        <v>1250</v>
      </c>
      <c r="F30" s="3">
        <f t="shared" si="2"/>
        <v>0</v>
      </c>
      <c r="G30" s="4">
        <f t="shared" si="3"/>
        <v>122620</v>
      </c>
      <c r="H30" s="4">
        <f t="shared" si="4"/>
        <v>114238.47557112222</v>
      </c>
    </row>
    <row r="31" spans="1:8">
      <c r="A31">
        <v>24</v>
      </c>
      <c r="B31" s="3">
        <v>130000</v>
      </c>
      <c r="C31" s="3">
        <f t="shared" si="5"/>
        <v>4358.3927030164423</v>
      </c>
      <c r="D31" s="3">
        <f t="shared" si="0"/>
        <v>1175.1999999999998</v>
      </c>
      <c r="E31" s="4">
        <f t="shared" si="1"/>
        <v>1300</v>
      </c>
      <c r="F31" s="3">
        <f t="shared" si="2"/>
        <v>0</v>
      </c>
      <c r="G31" s="4">
        <f t="shared" si="3"/>
        <v>127524.8</v>
      </c>
      <c r="H31" s="4">
        <f t="shared" si="4"/>
        <v>118808.01459396712</v>
      </c>
    </row>
    <row r="32" spans="1:8">
      <c r="A32">
        <v>25</v>
      </c>
      <c r="B32" s="3">
        <v>135000</v>
      </c>
      <c r="C32" s="3">
        <f t="shared" si="5"/>
        <v>4526.0231915939976</v>
      </c>
      <c r="D32" s="3">
        <f t="shared" si="0"/>
        <v>1220.3999999999999</v>
      </c>
      <c r="E32" s="4">
        <f t="shared" si="1"/>
        <v>1350</v>
      </c>
      <c r="F32" s="3">
        <f t="shared" si="2"/>
        <v>0</v>
      </c>
      <c r="G32" s="4">
        <f t="shared" si="3"/>
        <v>132429.6</v>
      </c>
      <c r="H32" s="4">
        <f t="shared" si="4"/>
        <v>123377.55361681202</v>
      </c>
    </row>
    <row r="33" spans="1:8">
      <c r="A33">
        <v>26</v>
      </c>
      <c r="B33" s="3">
        <v>140000</v>
      </c>
      <c r="C33" s="3">
        <f t="shared" si="5"/>
        <v>4693.6536801715538</v>
      </c>
      <c r="D33" s="3">
        <f t="shared" si="0"/>
        <v>1265.5999999999999</v>
      </c>
      <c r="E33" s="4">
        <f t="shared" si="1"/>
        <v>1400</v>
      </c>
      <c r="F33" s="3">
        <f t="shared" si="2"/>
        <v>0</v>
      </c>
      <c r="G33" s="4">
        <f t="shared" si="3"/>
        <v>137334.39999999999</v>
      </c>
      <c r="H33" s="4">
        <f t="shared" si="4"/>
        <v>127947.09263965688</v>
      </c>
    </row>
    <row r="34" spans="1:8">
      <c r="A34">
        <v>27</v>
      </c>
      <c r="B34" s="3">
        <v>145000</v>
      </c>
      <c r="C34" s="3">
        <f t="shared" si="5"/>
        <v>4861.2841687491091</v>
      </c>
      <c r="D34" s="3">
        <f t="shared" si="0"/>
        <v>1310.8</v>
      </c>
      <c r="E34" s="4">
        <f t="shared" si="1"/>
        <v>1450</v>
      </c>
      <c r="F34" s="3">
        <f t="shared" si="2"/>
        <v>0</v>
      </c>
      <c r="G34" s="4">
        <f t="shared" si="3"/>
        <v>142239.20000000001</v>
      </c>
      <c r="H34" s="4">
        <f t="shared" si="4"/>
        <v>132516.63166250178</v>
      </c>
    </row>
    <row r="35" spans="1:8">
      <c r="A35">
        <v>28</v>
      </c>
      <c r="B35" s="3">
        <v>150000</v>
      </c>
      <c r="C35" s="3">
        <f t="shared" si="5"/>
        <v>5028.9146573266644</v>
      </c>
      <c r="D35" s="3">
        <f t="shared" si="0"/>
        <v>1355.9999999999998</v>
      </c>
      <c r="E35" s="4">
        <f t="shared" si="1"/>
        <v>1500</v>
      </c>
      <c r="F35" s="3">
        <f t="shared" si="2"/>
        <v>0</v>
      </c>
      <c r="G35" s="4">
        <f t="shared" si="3"/>
        <v>147144</v>
      </c>
      <c r="H35" s="4">
        <f t="shared" si="4"/>
        <v>137086.17068534667</v>
      </c>
    </row>
    <row r="36" spans="1:8">
      <c r="A36">
        <v>29</v>
      </c>
      <c r="B36" s="3">
        <v>155000</v>
      </c>
      <c r="C36" s="3">
        <f t="shared" si="5"/>
        <v>5196.5451459042197</v>
      </c>
      <c r="D36" s="3">
        <f t="shared" si="0"/>
        <v>1401.1999999999998</v>
      </c>
      <c r="E36" s="4">
        <f t="shared" si="1"/>
        <v>1550</v>
      </c>
      <c r="F36" s="3">
        <f t="shared" si="2"/>
        <v>0</v>
      </c>
      <c r="G36" s="4">
        <f t="shared" si="3"/>
        <v>152048.79999999999</v>
      </c>
      <c r="H36" s="4">
        <f t="shared" si="4"/>
        <v>141655.70970819154</v>
      </c>
    </row>
    <row r="37" spans="1:8">
      <c r="A37">
        <v>30</v>
      </c>
      <c r="B37" s="3">
        <v>160000</v>
      </c>
      <c r="C37" s="3">
        <f t="shared" si="5"/>
        <v>5364.1756344817759</v>
      </c>
      <c r="D37" s="3">
        <f t="shared" si="0"/>
        <v>1446.3999999999999</v>
      </c>
      <c r="E37" s="4">
        <f t="shared" si="1"/>
        <v>1600</v>
      </c>
      <c r="F37" s="3">
        <f t="shared" si="2"/>
        <v>0</v>
      </c>
      <c r="G37" s="4">
        <f t="shared" si="3"/>
        <v>156953.60000000001</v>
      </c>
      <c r="H37" s="4">
        <f t="shared" si="4"/>
        <v>146225.24873103647</v>
      </c>
    </row>
    <row r="38" spans="1:8">
      <c r="A38">
        <v>31</v>
      </c>
      <c r="B38" s="3">
        <v>165000</v>
      </c>
      <c r="C38" s="3">
        <f t="shared" si="5"/>
        <v>5531.8061230593312</v>
      </c>
      <c r="D38" s="3">
        <f t="shared" si="0"/>
        <v>1491.6</v>
      </c>
      <c r="E38" s="4">
        <f t="shared" si="1"/>
        <v>1650</v>
      </c>
      <c r="F38" s="3">
        <f t="shared" si="2"/>
        <v>0</v>
      </c>
      <c r="G38" s="4">
        <f t="shared" si="3"/>
        <v>161858.4</v>
      </c>
      <c r="H38" s="4">
        <f t="shared" si="4"/>
        <v>150794.78775388133</v>
      </c>
    </row>
    <row r="39" spans="1:8">
      <c r="A39">
        <v>32</v>
      </c>
      <c r="B39" s="3">
        <v>170000</v>
      </c>
      <c r="C39" s="3">
        <f t="shared" si="5"/>
        <v>5699.4366116368865</v>
      </c>
      <c r="D39" s="3">
        <f t="shared" si="0"/>
        <v>1536.8</v>
      </c>
      <c r="E39" s="4">
        <f t="shared" si="1"/>
        <v>1700</v>
      </c>
      <c r="F39" s="3">
        <f t="shared" si="2"/>
        <v>0</v>
      </c>
      <c r="G39" s="4">
        <f t="shared" si="3"/>
        <v>166763.20000000001</v>
      </c>
      <c r="H39" s="4">
        <f t="shared" si="4"/>
        <v>155364.32677672623</v>
      </c>
    </row>
    <row r="40" spans="1:8">
      <c r="A40">
        <v>33</v>
      </c>
      <c r="B40" s="3">
        <v>175000</v>
      </c>
      <c r="C40" s="3">
        <f t="shared" si="5"/>
        <v>5867.0671002144418</v>
      </c>
      <c r="D40" s="3">
        <f t="shared" si="0"/>
        <v>1581.9999999999998</v>
      </c>
      <c r="E40" s="4">
        <f t="shared" si="1"/>
        <v>1750</v>
      </c>
      <c r="F40" s="3">
        <f t="shared" si="2"/>
        <v>0</v>
      </c>
      <c r="G40" s="4">
        <f t="shared" si="3"/>
        <v>171668</v>
      </c>
      <c r="H40" s="4">
        <f t="shared" si="4"/>
        <v>159933.86579957113</v>
      </c>
    </row>
    <row r="41" spans="1:8">
      <c r="A41">
        <v>34</v>
      </c>
      <c r="B41" s="3">
        <v>180000</v>
      </c>
      <c r="C41" s="3">
        <f t="shared" si="5"/>
        <v>6034.6975887919971</v>
      </c>
      <c r="D41" s="3">
        <f t="shared" si="0"/>
        <v>1627.1999999999998</v>
      </c>
      <c r="E41" s="4">
        <f t="shared" si="1"/>
        <v>1800</v>
      </c>
      <c r="F41" s="3">
        <f t="shared" si="2"/>
        <v>0</v>
      </c>
      <c r="G41" s="4">
        <f t="shared" si="3"/>
        <v>176572.79999999999</v>
      </c>
      <c r="H41" s="4">
        <f t="shared" si="4"/>
        <v>164503.40482241599</v>
      </c>
    </row>
    <row r="42" spans="1:8">
      <c r="A42">
        <v>35</v>
      </c>
      <c r="B42" s="3">
        <v>185000</v>
      </c>
      <c r="C42" s="3">
        <f t="shared" si="5"/>
        <v>6202.3280773695533</v>
      </c>
      <c r="D42" s="3">
        <f t="shared" si="0"/>
        <v>1672.3999999999999</v>
      </c>
      <c r="E42" s="4">
        <f t="shared" si="1"/>
        <v>1850</v>
      </c>
      <c r="F42" s="3">
        <f t="shared" si="2"/>
        <v>0</v>
      </c>
      <c r="G42" s="4">
        <f t="shared" si="3"/>
        <v>181477.6</v>
      </c>
      <c r="H42" s="4">
        <f t="shared" si="4"/>
        <v>169072.94384526089</v>
      </c>
    </row>
    <row r="43" spans="1:8">
      <c r="A43">
        <v>36</v>
      </c>
      <c r="B43" s="3">
        <v>190000</v>
      </c>
      <c r="C43" s="3">
        <f t="shared" si="5"/>
        <v>6369.9585659471086</v>
      </c>
      <c r="D43" s="3">
        <f t="shared" si="0"/>
        <v>1717.6</v>
      </c>
      <c r="E43" s="4">
        <f t="shared" si="1"/>
        <v>1900</v>
      </c>
      <c r="F43" s="3">
        <f t="shared" si="2"/>
        <v>0</v>
      </c>
      <c r="G43" s="4">
        <f t="shared" si="3"/>
        <v>186382.4</v>
      </c>
      <c r="H43" s="4">
        <f t="shared" si="4"/>
        <v>173642.48286810578</v>
      </c>
    </row>
    <row r="44" spans="1:8">
      <c r="A44">
        <v>37</v>
      </c>
      <c r="B44" s="3">
        <v>195000</v>
      </c>
      <c r="C44" s="3">
        <f t="shared" si="5"/>
        <v>6537.589054524663</v>
      </c>
      <c r="D44" s="3">
        <f t="shared" si="0"/>
        <v>1762.7999999999997</v>
      </c>
      <c r="E44" s="4">
        <f t="shared" si="1"/>
        <v>1950</v>
      </c>
      <c r="F44" s="3">
        <f t="shared" si="2"/>
        <v>0</v>
      </c>
      <c r="G44" s="4">
        <f t="shared" si="3"/>
        <v>191287.2</v>
      </c>
      <c r="H44" s="4">
        <f t="shared" si="4"/>
        <v>178212.02189095068</v>
      </c>
    </row>
    <row r="45" spans="1:8">
      <c r="A45">
        <v>38</v>
      </c>
      <c r="B45" s="3">
        <v>200000</v>
      </c>
      <c r="C45" s="3">
        <f t="shared" si="5"/>
        <v>6705.2195431022183</v>
      </c>
      <c r="D45" s="3">
        <f t="shared" si="0"/>
        <v>1807.9999999999998</v>
      </c>
      <c r="E45" s="4">
        <f t="shared" si="1"/>
        <v>2000</v>
      </c>
      <c r="F45" s="3">
        <f t="shared" si="2"/>
        <v>0</v>
      </c>
      <c r="G45" s="4">
        <f t="shared" si="3"/>
        <v>196192</v>
      </c>
      <c r="H45" s="4">
        <f t="shared" si="4"/>
        <v>182781.56091379558</v>
      </c>
    </row>
    <row r="46" spans="1:8">
      <c r="A46">
        <v>39</v>
      </c>
      <c r="B46" s="3">
        <v>205000</v>
      </c>
      <c r="C46" s="3">
        <f t="shared" si="5"/>
        <v>6872.8500316797754</v>
      </c>
      <c r="D46" s="3">
        <f t="shared" si="0"/>
        <v>1853.1999999999998</v>
      </c>
      <c r="E46" s="4">
        <f t="shared" si="1"/>
        <v>2050</v>
      </c>
      <c r="F46" s="3">
        <f t="shared" si="2"/>
        <v>0</v>
      </c>
      <c r="G46" s="4">
        <f t="shared" si="3"/>
        <v>201096.8</v>
      </c>
      <c r="H46" s="4">
        <f t="shared" si="4"/>
        <v>187351.09993664044</v>
      </c>
    </row>
    <row r="47" spans="1:8">
      <c r="A47">
        <v>40</v>
      </c>
      <c r="B47" s="3">
        <v>210000</v>
      </c>
      <c r="C47" s="3">
        <f t="shared" si="5"/>
        <v>7040.4805202573298</v>
      </c>
      <c r="D47" s="3">
        <f t="shared" si="0"/>
        <v>1898.3999999999999</v>
      </c>
      <c r="E47" s="4">
        <f t="shared" si="1"/>
        <v>2100</v>
      </c>
      <c r="F47" s="3">
        <f t="shared" si="2"/>
        <v>0</v>
      </c>
      <c r="G47" s="4">
        <f t="shared" si="3"/>
        <v>206001.6</v>
      </c>
      <c r="H47" s="4">
        <f t="shared" si="4"/>
        <v>191920.63895948534</v>
      </c>
    </row>
    <row r="48" spans="1:8">
      <c r="A48">
        <v>41</v>
      </c>
      <c r="B48" s="3">
        <v>215000</v>
      </c>
      <c r="C48" s="3">
        <f t="shared" si="5"/>
        <v>7208.1110088348851</v>
      </c>
      <c r="D48" s="3">
        <f t="shared" si="0"/>
        <v>1943.6</v>
      </c>
      <c r="E48" s="4">
        <f t="shared" si="1"/>
        <v>2150</v>
      </c>
      <c r="F48" s="3">
        <f t="shared" si="2"/>
        <v>0</v>
      </c>
      <c r="G48" s="4">
        <f t="shared" si="3"/>
        <v>210906.4</v>
      </c>
      <c r="H48" s="4">
        <f t="shared" si="4"/>
        <v>196490.17798233023</v>
      </c>
    </row>
    <row r="49" spans="1:8">
      <c r="A49">
        <v>42</v>
      </c>
      <c r="B49" s="3">
        <v>220000</v>
      </c>
      <c r="C49" s="3">
        <f t="shared" si="5"/>
        <v>7375.7414974124404</v>
      </c>
      <c r="D49" s="3">
        <f t="shared" si="0"/>
        <v>1988.7999999999997</v>
      </c>
      <c r="E49" s="4">
        <f t="shared" si="1"/>
        <v>2200</v>
      </c>
      <c r="F49" s="3">
        <f t="shared" si="2"/>
        <v>0</v>
      </c>
      <c r="G49" s="4">
        <f t="shared" si="3"/>
        <v>215811.20000000001</v>
      </c>
      <c r="H49" s="4">
        <f t="shared" si="4"/>
        <v>201059.71700517513</v>
      </c>
    </row>
    <row r="50" spans="1:8">
      <c r="A50">
        <v>43</v>
      </c>
      <c r="B50" s="3">
        <v>225000</v>
      </c>
      <c r="C50" s="3">
        <f t="shared" si="5"/>
        <v>7543.3719859899966</v>
      </c>
      <c r="D50" s="3">
        <f t="shared" si="0"/>
        <v>2033.9999999999998</v>
      </c>
      <c r="E50" s="4">
        <f t="shared" si="1"/>
        <v>2250</v>
      </c>
      <c r="F50" s="3">
        <f t="shared" si="2"/>
        <v>0</v>
      </c>
      <c r="G50" s="4">
        <f t="shared" si="3"/>
        <v>220716</v>
      </c>
      <c r="H50" s="4">
        <f t="shared" si="4"/>
        <v>205629.25602802</v>
      </c>
    </row>
    <row r="51" spans="1:8">
      <c r="A51">
        <v>44</v>
      </c>
      <c r="B51" s="3">
        <v>230000</v>
      </c>
      <c r="C51" s="3">
        <f t="shared" si="5"/>
        <v>7711.0024745675519</v>
      </c>
      <c r="D51" s="3">
        <f t="shared" si="0"/>
        <v>2079.1999999999998</v>
      </c>
      <c r="E51" s="4">
        <f t="shared" si="1"/>
        <v>2300</v>
      </c>
      <c r="F51" s="3">
        <f t="shared" si="2"/>
        <v>0</v>
      </c>
      <c r="G51" s="4">
        <f t="shared" si="3"/>
        <v>225620.8</v>
      </c>
      <c r="H51" s="4">
        <f t="shared" si="4"/>
        <v>210198.79505086489</v>
      </c>
    </row>
    <row r="52" spans="1:8">
      <c r="A52">
        <v>45</v>
      </c>
      <c r="B52" s="3">
        <v>235000</v>
      </c>
      <c r="C52" s="3">
        <f t="shared" si="5"/>
        <v>7878.6329631451072</v>
      </c>
      <c r="D52" s="3">
        <f t="shared" si="0"/>
        <v>2124.3999999999996</v>
      </c>
      <c r="E52" s="4">
        <f t="shared" si="1"/>
        <v>2350</v>
      </c>
      <c r="F52" s="3">
        <f t="shared" si="2"/>
        <v>0</v>
      </c>
      <c r="G52" s="4">
        <f t="shared" si="3"/>
        <v>230525.6</v>
      </c>
      <c r="H52" s="4">
        <f t="shared" si="4"/>
        <v>214768.33407370979</v>
      </c>
    </row>
    <row r="53" spans="1:8">
      <c r="A53">
        <v>46</v>
      </c>
      <c r="B53" s="3">
        <v>240000</v>
      </c>
      <c r="C53" s="3">
        <f t="shared" si="5"/>
        <v>8046.2634517226634</v>
      </c>
      <c r="D53" s="3">
        <f t="shared" si="0"/>
        <v>2169.6</v>
      </c>
      <c r="E53" s="4">
        <f t="shared" si="1"/>
        <v>2400</v>
      </c>
      <c r="F53" s="3">
        <f t="shared" si="2"/>
        <v>0</v>
      </c>
      <c r="G53" s="4">
        <f t="shared" si="3"/>
        <v>235430.39999999999</v>
      </c>
      <c r="H53" s="4">
        <f t="shared" si="4"/>
        <v>219337.87309655466</v>
      </c>
    </row>
    <row r="54" spans="1:8">
      <c r="A54">
        <v>47</v>
      </c>
      <c r="B54" s="3">
        <v>245000</v>
      </c>
      <c r="C54" s="3">
        <f t="shared" si="5"/>
        <v>8213.8939403002187</v>
      </c>
      <c r="D54" s="3">
        <f t="shared" si="0"/>
        <v>2214.7999999999997</v>
      </c>
      <c r="E54" s="4">
        <f t="shared" si="1"/>
        <v>2450</v>
      </c>
      <c r="F54" s="3">
        <f t="shared" si="2"/>
        <v>0</v>
      </c>
      <c r="G54" s="4">
        <f t="shared" si="3"/>
        <v>240335.2</v>
      </c>
      <c r="H54" s="4">
        <f t="shared" si="4"/>
        <v>223907.41211939958</v>
      </c>
    </row>
    <row r="55" spans="1:8">
      <c r="A55">
        <v>48</v>
      </c>
      <c r="B55" s="3">
        <v>250000</v>
      </c>
      <c r="C55" s="3">
        <f t="shared" si="5"/>
        <v>8381.524428877774</v>
      </c>
      <c r="D55" s="3">
        <f t="shared" si="0"/>
        <v>2260</v>
      </c>
      <c r="E55" s="4">
        <f t="shared" si="1"/>
        <v>2500</v>
      </c>
      <c r="F55" s="3">
        <f t="shared" si="2"/>
        <v>1250</v>
      </c>
      <c r="G55" s="4">
        <f t="shared" si="3"/>
        <v>243990</v>
      </c>
      <c r="H55" s="4">
        <f t="shared" si="4"/>
        <v>227226.95114224445</v>
      </c>
    </row>
    <row r="56" spans="1:8">
      <c r="A56">
        <v>49</v>
      </c>
      <c r="B56" s="3">
        <v>255000</v>
      </c>
      <c r="C56" s="3">
        <f t="shared" si="5"/>
        <v>8549.1549174553293</v>
      </c>
      <c r="D56" s="3">
        <f t="shared" si="0"/>
        <v>2305.1999999999998</v>
      </c>
      <c r="E56" s="4">
        <f t="shared" si="1"/>
        <v>2550</v>
      </c>
      <c r="F56" s="3">
        <f t="shared" si="2"/>
        <v>1275</v>
      </c>
      <c r="G56" s="4">
        <f t="shared" si="3"/>
        <v>248869.8</v>
      </c>
      <c r="H56" s="4">
        <f t="shared" si="4"/>
        <v>231771.49016508932</v>
      </c>
    </row>
    <row r="57" spans="1:8">
      <c r="A57">
        <v>50</v>
      </c>
      <c r="B57" s="3">
        <v>260000</v>
      </c>
      <c r="C57" s="3">
        <f t="shared" si="5"/>
        <v>8716.7854060328846</v>
      </c>
      <c r="D57" s="3">
        <f t="shared" si="0"/>
        <v>2350.3999999999996</v>
      </c>
      <c r="E57" s="4">
        <f t="shared" si="1"/>
        <v>2600</v>
      </c>
      <c r="F57" s="3">
        <f t="shared" si="2"/>
        <v>1300</v>
      </c>
      <c r="G57" s="4">
        <f t="shared" si="3"/>
        <v>253749.6</v>
      </c>
      <c r="H57" s="4">
        <f t="shared" si="4"/>
        <v>236316.02918793424</v>
      </c>
    </row>
    <row r="58" spans="1:8">
      <c r="A58">
        <v>51</v>
      </c>
      <c r="B58" s="3">
        <v>265000</v>
      </c>
      <c r="C58" s="3">
        <f t="shared" si="5"/>
        <v>8884.4158946104399</v>
      </c>
      <c r="D58" s="3">
        <f t="shared" si="0"/>
        <v>2395.6</v>
      </c>
      <c r="E58" s="4">
        <f t="shared" si="1"/>
        <v>2650</v>
      </c>
      <c r="F58" s="3">
        <f t="shared" si="2"/>
        <v>1325</v>
      </c>
      <c r="G58" s="4">
        <f t="shared" si="3"/>
        <v>258629.40000000002</v>
      </c>
      <c r="H58" s="4">
        <f t="shared" si="4"/>
        <v>240860.56821077914</v>
      </c>
    </row>
    <row r="59" spans="1:8">
      <c r="A59">
        <v>52</v>
      </c>
      <c r="B59" s="3">
        <v>270000</v>
      </c>
      <c r="C59" s="3">
        <f t="shared" si="5"/>
        <v>9052.0463831879952</v>
      </c>
      <c r="D59" s="3">
        <f t="shared" si="0"/>
        <v>2440.7999999999997</v>
      </c>
      <c r="E59" s="4">
        <f t="shared" si="1"/>
        <v>2700</v>
      </c>
      <c r="F59" s="3">
        <f t="shared" si="2"/>
        <v>1350</v>
      </c>
      <c r="G59" s="4">
        <f t="shared" si="3"/>
        <v>263509.2</v>
      </c>
      <c r="H59" s="4">
        <f t="shared" si="4"/>
        <v>245405.10723362403</v>
      </c>
    </row>
    <row r="60" spans="1:8">
      <c r="A60">
        <v>53</v>
      </c>
      <c r="B60" s="3">
        <v>275000</v>
      </c>
      <c r="C60" s="3">
        <f t="shared" si="5"/>
        <v>9219.6768717655505</v>
      </c>
      <c r="D60" s="3">
        <f t="shared" si="0"/>
        <v>2485.9999999999995</v>
      </c>
      <c r="E60" s="4">
        <f t="shared" si="1"/>
        <v>2750</v>
      </c>
      <c r="F60" s="3">
        <f t="shared" si="2"/>
        <v>1375</v>
      </c>
      <c r="G60" s="4">
        <f t="shared" si="3"/>
        <v>268389</v>
      </c>
      <c r="H60" s="4">
        <f t="shared" si="4"/>
        <v>249949.6462564689</v>
      </c>
    </row>
    <row r="61" spans="1:8">
      <c r="A61">
        <v>54</v>
      </c>
      <c r="B61" s="3">
        <v>280000</v>
      </c>
      <c r="C61" s="3">
        <f t="shared" si="5"/>
        <v>9387.3073603431076</v>
      </c>
      <c r="D61" s="3">
        <f t="shared" si="0"/>
        <v>2531.1999999999998</v>
      </c>
      <c r="E61" s="4">
        <f t="shared" si="1"/>
        <v>2800</v>
      </c>
      <c r="F61" s="3">
        <f t="shared" si="2"/>
        <v>1400</v>
      </c>
      <c r="G61" s="4">
        <f t="shared" si="3"/>
        <v>273268.8</v>
      </c>
      <c r="H61" s="4">
        <f t="shared" si="4"/>
        <v>254494.18527931377</v>
      </c>
    </row>
    <row r="62" spans="1:8">
      <c r="A62">
        <v>55</v>
      </c>
      <c r="B62" s="3">
        <v>285000</v>
      </c>
      <c r="C62" s="3">
        <f t="shared" si="5"/>
        <v>9554.9378489206629</v>
      </c>
      <c r="D62" s="3">
        <f t="shared" si="0"/>
        <v>2576.3999999999996</v>
      </c>
      <c r="E62" s="4">
        <f t="shared" si="1"/>
        <v>2850</v>
      </c>
      <c r="F62" s="3">
        <f t="shared" si="2"/>
        <v>1425</v>
      </c>
      <c r="G62" s="4">
        <f t="shared" si="3"/>
        <v>278148.59999999998</v>
      </c>
      <c r="H62" s="4">
        <f t="shared" si="4"/>
        <v>259038.72430215866</v>
      </c>
    </row>
    <row r="63" spans="1:8">
      <c r="A63">
        <v>56</v>
      </c>
      <c r="B63" s="3">
        <v>290000</v>
      </c>
      <c r="C63" s="3">
        <f t="shared" si="5"/>
        <v>9722.5683374982182</v>
      </c>
      <c r="D63" s="3">
        <f t="shared" si="0"/>
        <v>2621.6</v>
      </c>
      <c r="E63" s="4">
        <f t="shared" si="1"/>
        <v>2900</v>
      </c>
      <c r="F63" s="3">
        <f t="shared" si="2"/>
        <v>1450</v>
      </c>
      <c r="G63" s="4">
        <f t="shared" si="3"/>
        <v>283028.40000000002</v>
      </c>
      <c r="H63" s="4">
        <f t="shared" si="4"/>
        <v>263583.26332500356</v>
      </c>
    </row>
    <row r="64" spans="1:8">
      <c r="A64">
        <v>57</v>
      </c>
      <c r="B64" s="3">
        <v>295000</v>
      </c>
      <c r="C64" s="3">
        <f t="shared" si="5"/>
        <v>9890.1988260757735</v>
      </c>
      <c r="D64" s="3">
        <f t="shared" si="0"/>
        <v>2666.7999999999997</v>
      </c>
      <c r="E64" s="4">
        <f t="shared" si="1"/>
        <v>2950</v>
      </c>
      <c r="F64" s="3">
        <f t="shared" si="2"/>
        <v>1475</v>
      </c>
      <c r="G64" s="4">
        <f t="shared" si="3"/>
        <v>287908.2</v>
      </c>
      <c r="H64" s="4">
        <f t="shared" si="4"/>
        <v>268127.80234784848</v>
      </c>
    </row>
    <row r="65" spans="1:8">
      <c r="A65">
        <v>58</v>
      </c>
      <c r="B65" s="3">
        <v>300000</v>
      </c>
      <c r="C65" s="3">
        <f t="shared" si="5"/>
        <v>10057.829314653329</v>
      </c>
      <c r="D65" s="3">
        <f t="shared" si="0"/>
        <v>2711.9999999999995</v>
      </c>
      <c r="E65" s="4">
        <f t="shared" si="1"/>
        <v>3000</v>
      </c>
      <c r="F65" s="3">
        <f t="shared" si="2"/>
        <v>1500</v>
      </c>
      <c r="G65" s="4">
        <f t="shared" si="3"/>
        <v>292788</v>
      </c>
      <c r="H65" s="4">
        <f t="shared" si="4"/>
        <v>272672.34137069335</v>
      </c>
    </row>
    <row r="66" spans="1:8">
      <c r="A66">
        <v>59</v>
      </c>
      <c r="B66" s="3">
        <v>305000</v>
      </c>
      <c r="C66" s="3">
        <f t="shared" si="5"/>
        <v>10225.459803230884</v>
      </c>
      <c r="D66" s="3">
        <f t="shared" si="0"/>
        <v>2757.2</v>
      </c>
      <c r="E66" s="4">
        <f t="shared" si="1"/>
        <v>3050</v>
      </c>
      <c r="F66" s="3">
        <f t="shared" si="2"/>
        <v>1525</v>
      </c>
      <c r="G66" s="4">
        <f t="shared" si="3"/>
        <v>297667.8</v>
      </c>
      <c r="H66" s="4">
        <f t="shared" si="4"/>
        <v>277216.88039353822</v>
      </c>
    </row>
    <row r="67" spans="1:8">
      <c r="A67">
        <v>60</v>
      </c>
      <c r="B67" s="3">
        <v>310000</v>
      </c>
      <c r="C67" s="3">
        <f t="shared" si="5"/>
        <v>10393.090291808439</v>
      </c>
      <c r="D67" s="3">
        <f t="shared" si="0"/>
        <v>2802.3999999999996</v>
      </c>
      <c r="E67" s="4">
        <f t="shared" si="1"/>
        <v>3100</v>
      </c>
      <c r="F67" s="3">
        <f t="shared" si="2"/>
        <v>1550</v>
      </c>
      <c r="G67" s="4">
        <f t="shared" si="3"/>
        <v>302547.59999999998</v>
      </c>
      <c r="H67" s="4">
        <f t="shared" si="4"/>
        <v>281761.41941638308</v>
      </c>
    </row>
    <row r="68" spans="1:8">
      <c r="A68">
        <v>61</v>
      </c>
      <c r="B68" s="3">
        <v>315000</v>
      </c>
      <c r="C68" s="3">
        <f t="shared" si="5"/>
        <v>10560.720780385995</v>
      </c>
      <c r="D68" s="3">
        <f t="shared" si="0"/>
        <v>2847.6</v>
      </c>
      <c r="E68" s="4">
        <f t="shared" si="1"/>
        <v>3150</v>
      </c>
      <c r="F68" s="3">
        <f t="shared" si="2"/>
        <v>1575</v>
      </c>
      <c r="G68" s="4">
        <f t="shared" si="3"/>
        <v>307427.40000000002</v>
      </c>
      <c r="H68" s="4">
        <f t="shared" si="4"/>
        <v>286305.95843922801</v>
      </c>
    </row>
    <row r="69" spans="1:8">
      <c r="A69">
        <v>62</v>
      </c>
      <c r="B69" s="3">
        <v>320000</v>
      </c>
      <c r="C69" s="3">
        <f t="shared" si="5"/>
        <v>10728.351268963552</v>
      </c>
      <c r="D69" s="3">
        <f t="shared" si="0"/>
        <v>2892.7999999999997</v>
      </c>
      <c r="E69" s="4">
        <f t="shared" si="1"/>
        <v>3200</v>
      </c>
      <c r="F69" s="3">
        <f t="shared" si="2"/>
        <v>1600</v>
      </c>
      <c r="G69" s="4">
        <f t="shared" si="3"/>
        <v>312307.20000000001</v>
      </c>
      <c r="H69" s="4">
        <f t="shared" si="4"/>
        <v>290850.49746207293</v>
      </c>
    </row>
    <row r="70" spans="1:8">
      <c r="A70">
        <v>63</v>
      </c>
      <c r="B70" s="3">
        <v>325000</v>
      </c>
      <c r="C70" s="3">
        <f t="shared" si="5"/>
        <v>10895.981757541105</v>
      </c>
      <c r="D70" s="3">
        <f t="shared" si="0"/>
        <v>2937.9999999999995</v>
      </c>
      <c r="E70" s="4">
        <f t="shared" si="1"/>
        <v>3250</v>
      </c>
      <c r="F70" s="3">
        <f t="shared" si="2"/>
        <v>1625</v>
      </c>
      <c r="G70" s="4">
        <f t="shared" si="3"/>
        <v>317187</v>
      </c>
      <c r="H70" s="4">
        <f t="shared" si="4"/>
        <v>295395.0364849178</v>
      </c>
    </row>
    <row r="71" spans="1:8">
      <c r="A71">
        <v>64</v>
      </c>
      <c r="B71" s="3">
        <v>330000</v>
      </c>
      <c r="C71" s="3">
        <f t="shared" si="5"/>
        <v>11063.612246118662</v>
      </c>
      <c r="D71" s="3">
        <f t="shared" si="0"/>
        <v>2983.2</v>
      </c>
      <c r="E71" s="4">
        <f t="shared" si="1"/>
        <v>3300</v>
      </c>
      <c r="F71" s="3">
        <f t="shared" si="2"/>
        <v>1650</v>
      </c>
      <c r="G71" s="4">
        <f t="shared" si="3"/>
        <v>322066.8</v>
      </c>
      <c r="H71" s="4">
        <f t="shared" si="4"/>
        <v>299939.57550776267</v>
      </c>
    </row>
    <row r="72" spans="1:8">
      <c r="A72">
        <v>65</v>
      </c>
      <c r="B72" s="3">
        <v>335000</v>
      </c>
      <c r="C72" s="3">
        <f t="shared" si="5"/>
        <v>11231.242734696218</v>
      </c>
      <c r="D72" s="3">
        <f t="shared" si="0"/>
        <v>3028.3999999999996</v>
      </c>
      <c r="E72" s="4">
        <f t="shared" si="1"/>
        <v>3350</v>
      </c>
      <c r="F72" s="3">
        <f t="shared" si="2"/>
        <v>1675</v>
      </c>
      <c r="G72" s="4">
        <f t="shared" si="3"/>
        <v>326946.59999999998</v>
      </c>
      <c r="H72" s="4">
        <f t="shared" si="4"/>
        <v>304484.11453060753</v>
      </c>
    </row>
    <row r="73" spans="1:8">
      <c r="A73">
        <v>66</v>
      </c>
      <c r="B73" s="3">
        <v>340000</v>
      </c>
      <c r="C73" s="3">
        <f t="shared" si="5"/>
        <v>11398.873223273773</v>
      </c>
      <c r="D73" s="3">
        <f t="shared" ref="D73:D85" si="6">(B73/1000)*9.04</f>
        <v>3073.6</v>
      </c>
      <c r="E73" s="4">
        <f t="shared" ref="E73:E85" si="7">0.01*B73</f>
        <v>3400</v>
      </c>
      <c r="F73" s="3">
        <f t="shared" ref="F73:F85" si="8">IF(B73&lt;250000,0,B73/200)</f>
        <v>1700</v>
      </c>
      <c r="G73" s="4">
        <f t="shared" ref="G73:G85" si="9">B73-D73-E73-F73</f>
        <v>331826.40000000002</v>
      </c>
      <c r="H73" s="4">
        <f t="shared" ref="H73:H85" si="10">B73-D73-E73-F73-(2*C73)</f>
        <v>309028.65355345246</v>
      </c>
    </row>
    <row r="74" spans="1:8">
      <c r="A74">
        <v>67</v>
      </c>
      <c r="B74" s="3">
        <v>345000</v>
      </c>
      <c r="C74" s="3">
        <f t="shared" ref="C74:C85" si="11">-PMT(12.651%/12,36,B74)</f>
        <v>11566.503711851328</v>
      </c>
      <c r="D74" s="3">
        <f t="shared" si="6"/>
        <v>3118.7999999999997</v>
      </c>
      <c r="E74" s="4">
        <f t="shared" si="7"/>
        <v>3450</v>
      </c>
      <c r="F74" s="3">
        <f t="shared" si="8"/>
        <v>1725</v>
      </c>
      <c r="G74" s="4">
        <f t="shared" si="9"/>
        <v>336706.2</v>
      </c>
      <c r="H74" s="4">
        <f t="shared" si="10"/>
        <v>313573.19257629733</v>
      </c>
    </row>
    <row r="75" spans="1:8">
      <c r="A75">
        <v>68</v>
      </c>
      <c r="B75" s="3">
        <v>350000</v>
      </c>
      <c r="C75" s="3">
        <f t="shared" si="11"/>
        <v>11734.134200428884</v>
      </c>
      <c r="D75" s="3">
        <f t="shared" si="6"/>
        <v>3163.9999999999995</v>
      </c>
      <c r="E75" s="4">
        <f t="shared" si="7"/>
        <v>3500</v>
      </c>
      <c r="F75" s="3">
        <f t="shared" si="8"/>
        <v>1750</v>
      </c>
      <c r="G75" s="4">
        <f t="shared" si="9"/>
        <v>341586</v>
      </c>
      <c r="H75" s="4">
        <f t="shared" si="10"/>
        <v>318117.73159914225</v>
      </c>
    </row>
    <row r="76" spans="1:8">
      <c r="A76">
        <v>69</v>
      </c>
      <c r="B76" s="3">
        <v>355000</v>
      </c>
      <c r="C76" s="3">
        <f t="shared" si="11"/>
        <v>11901.764689006439</v>
      </c>
      <c r="D76" s="3">
        <f t="shared" si="6"/>
        <v>3209.2</v>
      </c>
      <c r="E76" s="4">
        <f t="shared" si="7"/>
        <v>3550</v>
      </c>
      <c r="F76" s="3">
        <f t="shared" si="8"/>
        <v>1775</v>
      </c>
      <c r="G76" s="4">
        <f t="shared" si="9"/>
        <v>346465.8</v>
      </c>
      <c r="H76" s="4">
        <f t="shared" si="10"/>
        <v>322662.27062198712</v>
      </c>
    </row>
    <row r="77" spans="1:8">
      <c r="A77">
        <v>70</v>
      </c>
      <c r="B77" s="3">
        <v>360000</v>
      </c>
      <c r="C77" s="3">
        <f t="shared" si="11"/>
        <v>12069.395177583994</v>
      </c>
      <c r="D77" s="3">
        <f t="shared" si="6"/>
        <v>3254.3999999999996</v>
      </c>
      <c r="E77" s="4">
        <f t="shared" si="7"/>
        <v>3600</v>
      </c>
      <c r="F77" s="3">
        <f t="shared" si="8"/>
        <v>1800</v>
      </c>
      <c r="G77" s="4">
        <f t="shared" si="9"/>
        <v>351345.6</v>
      </c>
      <c r="H77" s="4">
        <f t="shared" si="10"/>
        <v>327206.80964483198</v>
      </c>
    </row>
    <row r="78" spans="1:8">
      <c r="A78">
        <v>71</v>
      </c>
      <c r="B78" s="3">
        <v>365000</v>
      </c>
      <c r="C78" s="3">
        <f t="shared" si="11"/>
        <v>12237.025666161551</v>
      </c>
      <c r="D78" s="3">
        <f t="shared" si="6"/>
        <v>3299.6</v>
      </c>
      <c r="E78" s="4">
        <f t="shared" si="7"/>
        <v>3650</v>
      </c>
      <c r="F78" s="3">
        <f t="shared" si="8"/>
        <v>1825</v>
      </c>
      <c r="G78" s="4">
        <f t="shared" si="9"/>
        <v>356225.4</v>
      </c>
      <c r="H78" s="4">
        <f t="shared" si="10"/>
        <v>331751.34866767691</v>
      </c>
    </row>
    <row r="79" spans="1:8">
      <c r="A79">
        <v>72</v>
      </c>
      <c r="B79" s="3">
        <v>370000</v>
      </c>
      <c r="C79" s="3">
        <f t="shared" si="11"/>
        <v>12404.656154739107</v>
      </c>
      <c r="D79" s="3">
        <f t="shared" si="6"/>
        <v>3344.7999999999997</v>
      </c>
      <c r="E79" s="4">
        <f t="shared" si="7"/>
        <v>3700</v>
      </c>
      <c r="F79" s="3">
        <f t="shared" si="8"/>
        <v>1850</v>
      </c>
      <c r="G79" s="4">
        <f t="shared" si="9"/>
        <v>361105.2</v>
      </c>
      <c r="H79" s="4">
        <f t="shared" si="10"/>
        <v>336295.88769052178</v>
      </c>
    </row>
    <row r="80" spans="1:8">
      <c r="A80">
        <v>73</v>
      </c>
      <c r="B80" s="3">
        <v>375000</v>
      </c>
      <c r="C80" s="3">
        <f t="shared" si="11"/>
        <v>12572.286643316662</v>
      </c>
      <c r="D80" s="3">
        <f t="shared" si="6"/>
        <v>3389.9999999999995</v>
      </c>
      <c r="E80" s="4">
        <f t="shared" si="7"/>
        <v>3750</v>
      </c>
      <c r="F80" s="3">
        <f t="shared" si="8"/>
        <v>1875</v>
      </c>
      <c r="G80" s="4">
        <f t="shared" si="9"/>
        <v>365985</v>
      </c>
      <c r="H80" s="4">
        <f t="shared" si="10"/>
        <v>340840.4267133667</v>
      </c>
    </row>
    <row r="81" spans="1:8">
      <c r="A81">
        <v>74</v>
      </c>
      <c r="B81" s="3">
        <v>380000</v>
      </c>
      <c r="C81" s="3">
        <f t="shared" si="11"/>
        <v>12739.917131894217</v>
      </c>
      <c r="D81" s="3">
        <f t="shared" si="6"/>
        <v>3435.2</v>
      </c>
      <c r="E81" s="4">
        <f t="shared" si="7"/>
        <v>3800</v>
      </c>
      <c r="F81" s="3">
        <f t="shared" si="8"/>
        <v>1900</v>
      </c>
      <c r="G81" s="4">
        <f t="shared" si="9"/>
        <v>370864.8</v>
      </c>
      <c r="H81" s="4">
        <f t="shared" si="10"/>
        <v>345384.96573621157</v>
      </c>
    </row>
    <row r="82" spans="1:8">
      <c r="A82">
        <v>75</v>
      </c>
      <c r="B82" s="3">
        <v>385000</v>
      </c>
      <c r="C82" s="3">
        <f t="shared" si="11"/>
        <v>12907.547620471772</v>
      </c>
      <c r="D82" s="3">
        <f t="shared" si="6"/>
        <v>3480.3999999999996</v>
      </c>
      <c r="E82" s="4">
        <f t="shared" si="7"/>
        <v>3850</v>
      </c>
      <c r="F82" s="3">
        <f t="shared" si="8"/>
        <v>1925</v>
      </c>
      <c r="G82" s="4">
        <f t="shared" si="9"/>
        <v>375744.6</v>
      </c>
      <c r="H82" s="4">
        <f t="shared" si="10"/>
        <v>349929.50475905644</v>
      </c>
    </row>
    <row r="83" spans="1:8">
      <c r="A83">
        <v>76</v>
      </c>
      <c r="B83" s="3">
        <v>390000</v>
      </c>
      <c r="C83" s="3">
        <f t="shared" si="11"/>
        <v>13075.178109049326</v>
      </c>
      <c r="D83" s="3">
        <f t="shared" si="6"/>
        <v>3525.5999999999995</v>
      </c>
      <c r="E83" s="4">
        <f t="shared" si="7"/>
        <v>3900</v>
      </c>
      <c r="F83" s="3">
        <f t="shared" si="8"/>
        <v>1950</v>
      </c>
      <c r="G83" s="4">
        <f t="shared" si="9"/>
        <v>380624.4</v>
      </c>
      <c r="H83" s="4">
        <f t="shared" si="10"/>
        <v>354474.04378190136</v>
      </c>
    </row>
    <row r="84" spans="1:8">
      <c r="A84">
        <v>77</v>
      </c>
      <c r="B84" s="3">
        <v>395000</v>
      </c>
      <c r="C84" s="3">
        <f t="shared" si="11"/>
        <v>13242.808597626881</v>
      </c>
      <c r="D84" s="3">
        <f t="shared" si="6"/>
        <v>3570.7999999999997</v>
      </c>
      <c r="E84" s="4">
        <f t="shared" si="7"/>
        <v>3950</v>
      </c>
      <c r="F84" s="3">
        <f t="shared" si="8"/>
        <v>1975</v>
      </c>
      <c r="G84" s="4">
        <f t="shared" si="9"/>
        <v>385504.2</v>
      </c>
      <c r="H84" s="4">
        <f t="shared" si="10"/>
        <v>359018.58280474623</v>
      </c>
    </row>
    <row r="85" spans="1:8">
      <c r="A85">
        <v>78</v>
      </c>
      <c r="B85" s="3">
        <v>400000</v>
      </c>
      <c r="C85" s="3">
        <f t="shared" si="11"/>
        <v>13410.439086204437</v>
      </c>
      <c r="D85" s="3">
        <f t="shared" si="6"/>
        <v>3615.9999999999995</v>
      </c>
      <c r="E85" s="4">
        <f t="shared" si="7"/>
        <v>4000</v>
      </c>
      <c r="F85" s="3">
        <f t="shared" si="8"/>
        <v>2000</v>
      </c>
      <c r="G85" s="4">
        <f t="shared" si="9"/>
        <v>390384</v>
      </c>
      <c r="H85" s="4">
        <f t="shared" si="10"/>
        <v>363563.12182759115</v>
      </c>
    </row>
  </sheetData>
  <mergeCells count="9">
    <mergeCell ref="B2:H2"/>
    <mergeCell ref="B3:H3"/>
    <mergeCell ref="B4:H4"/>
    <mergeCell ref="B5:B6"/>
    <mergeCell ref="C5:C6"/>
    <mergeCell ref="D5:D6"/>
    <mergeCell ref="E5:E6"/>
    <mergeCell ref="F5:F6"/>
    <mergeCell ref="G5:H5"/>
  </mergeCells>
  <phoneticPr fontId="0" type="noConversion"/>
  <printOptions horizontalCentered="1"/>
  <pageMargins left="0.25" right="0.25" top="0.2" bottom="0.75" header="0.05" footer="0.05"/>
  <pageSetup paperSize="5" scale="7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/>
  <dimension ref="A2:K85"/>
  <sheetViews>
    <sheetView topLeftCell="A7" workbookViewId="0">
      <selection activeCell="B24" sqref="B24"/>
    </sheetView>
  </sheetViews>
  <sheetFormatPr defaultRowHeight="14.5"/>
  <cols>
    <col min="1" max="1" width="5.1796875" customWidth="1"/>
    <col min="2" max="2" width="13" bestFit="1" customWidth="1"/>
    <col min="3" max="3" width="14.81640625" bestFit="1" customWidth="1"/>
    <col min="4" max="4" width="13.453125" bestFit="1" customWidth="1"/>
    <col min="5" max="5" width="11.26953125" bestFit="1" customWidth="1"/>
    <col min="6" max="6" width="11.1796875" customWidth="1"/>
    <col min="7" max="7" width="12.54296875" bestFit="1" customWidth="1"/>
    <col min="8" max="8" width="19.26953125" bestFit="1" customWidth="1"/>
    <col min="10" max="10" width="11.81640625" customWidth="1"/>
    <col min="11" max="11" width="9.26953125" bestFit="1" customWidth="1"/>
  </cols>
  <sheetData>
    <row r="2" spans="1:11" ht="26.5" thickBot="1">
      <c r="A2" s="5">
        <v>2</v>
      </c>
      <c r="B2" s="729" t="s">
        <v>6</v>
      </c>
      <c r="C2" s="729"/>
      <c r="D2" s="729"/>
      <c r="E2" s="729"/>
      <c r="F2" s="729"/>
      <c r="G2" s="729"/>
      <c r="H2" s="729"/>
      <c r="J2" t="s">
        <v>13</v>
      </c>
    </row>
    <row r="3" spans="1:11">
      <c r="B3" s="730" t="s">
        <v>7</v>
      </c>
      <c r="C3" s="730"/>
      <c r="D3" s="730"/>
      <c r="E3" s="730"/>
      <c r="F3" s="730"/>
      <c r="G3" s="730"/>
      <c r="H3" s="730"/>
      <c r="J3" t="s">
        <v>11</v>
      </c>
      <c r="K3">
        <v>5.35</v>
      </c>
    </row>
    <row r="4" spans="1:11">
      <c r="B4" s="731" t="s">
        <v>16</v>
      </c>
      <c r="C4" s="731"/>
      <c r="D4" s="731"/>
      <c r="E4" s="731"/>
      <c r="F4" s="731"/>
      <c r="G4" s="731"/>
      <c r="H4" s="731"/>
      <c r="J4" t="s">
        <v>10</v>
      </c>
      <c r="K4">
        <v>6.58</v>
      </c>
    </row>
    <row r="5" spans="1:11">
      <c r="B5" s="728" t="s">
        <v>0</v>
      </c>
      <c r="C5" s="728" t="s">
        <v>1</v>
      </c>
      <c r="D5" s="728" t="s">
        <v>2</v>
      </c>
      <c r="E5" s="728" t="s">
        <v>3</v>
      </c>
      <c r="F5" s="728" t="s">
        <v>8</v>
      </c>
      <c r="G5" s="725" t="s">
        <v>9</v>
      </c>
      <c r="H5" s="725"/>
      <c r="J5" t="s">
        <v>12</v>
      </c>
      <c r="K5">
        <v>9.0399999999999991</v>
      </c>
    </row>
    <row r="6" spans="1:11">
      <c r="B6" s="728"/>
      <c r="C6" s="728"/>
      <c r="D6" s="728"/>
      <c r="E6" s="728"/>
      <c r="F6" s="728"/>
      <c r="G6" s="1" t="s">
        <v>4</v>
      </c>
      <c r="H6" s="1" t="s">
        <v>5</v>
      </c>
    </row>
    <row r="7" spans="1:11">
      <c r="B7" s="2"/>
      <c r="C7" s="2"/>
      <c r="D7" s="2"/>
      <c r="E7" s="2"/>
      <c r="F7" s="2"/>
      <c r="G7" s="2"/>
      <c r="H7" s="2"/>
    </row>
    <row r="8" spans="1:11">
      <c r="A8">
        <v>1</v>
      </c>
      <c r="B8" s="3">
        <f>9500*3</f>
        <v>28500</v>
      </c>
      <c r="C8" s="3">
        <f>-PMT(12.651%/12,24,B8)</f>
        <v>1350.274713101415</v>
      </c>
      <c r="D8" s="3">
        <f>(B8/1000)*6.58</f>
        <v>187.53</v>
      </c>
      <c r="E8" s="4">
        <f>0.01*B8</f>
        <v>285</v>
      </c>
      <c r="F8" s="3">
        <f>IF(B8&lt;250000,0,B8/200)</f>
        <v>0</v>
      </c>
      <c r="G8" s="4">
        <f>B8-D8-E8-F8</f>
        <v>28027.47</v>
      </c>
      <c r="H8" s="4">
        <f>B8-D8-E8-F8-(2*C8)</f>
        <v>25326.920573797172</v>
      </c>
    </row>
    <row r="9" spans="1:11">
      <c r="A9">
        <v>2</v>
      </c>
      <c r="B9" s="3">
        <v>20000</v>
      </c>
      <c r="C9" s="3">
        <f t="shared" ref="C9:C72" si="0">-PMT(12.651%/12,24,B9)</f>
        <v>947.56120217643161</v>
      </c>
      <c r="D9" s="3">
        <f t="shared" ref="D9:D72" si="1">(B9/1000)*6.58</f>
        <v>131.6</v>
      </c>
      <c r="E9" s="4">
        <f t="shared" ref="E9:E72" si="2">0.01*B9</f>
        <v>200</v>
      </c>
      <c r="F9" s="3">
        <f t="shared" ref="F9:F72" si="3">IF(B9&lt;250000,0,B9/200)</f>
        <v>0</v>
      </c>
      <c r="G9" s="4">
        <f t="shared" ref="G9:G72" si="4">B9-D9-E9-F9</f>
        <v>19668.400000000001</v>
      </c>
      <c r="H9" s="4">
        <f t="shared" ref="H9:H72" si="5">B9-D9-E9-F9-(2*C9)</f>
        <v>17773.277595647138</v>
      </c>
    </row>
    <row r="10" spans="1:11">
      <c r="A10">
        <v>3</v>
      </c>
      <c r="B10" s="3">
        <v>25000</v>
      </c>
      <c r="C10" s="3">
        <f t="shared" si="0"/>
        <v>1184.4515027205393</v>
      </c>
      <c r="D10" s="3">
        <f t="shared" si="1"/>
        <v>164.5</v>
      </c>
      <c r="E10" s="4">
        <f t="shared" si="2"/>
        <v>250</v>
      </c>
      <c r="F10" s="3">
        <f t="shared" si="3"/>
        <v>0</v>
      </c>
      <c r="G10" s="4">
        <f t="shared" si="4"/>
        <v>24585.5</v>
      </c>
      <c r="H10" s="4">
        <f t="shared" si="5"/>
        <v>22216.59699455892</v>
      </c>
    </row>
    <row r="11" spans="1:11">
      <c r="A11">
        <v>4</v>
      </c>
      <c r="B11" s="3">
        <v>30000</v>
      </c>
      <c r="C11" s="3">
        <f t="shared" si="0"/>
        <v>1421.3418032646473</v>
      </c>
      <c r="D11" s="3">
        <f t="shared" si="1"/>
        <v>197.4</v>
      </c>
      <c r="E11" s="4">
        <f t="shared" si="2"/>
        <v>300</v>
      </c>
      <c r="F11" s="3">
        <f t="shared" si="3"/>
        <v>0</v>
      </c>
      <c r="G11" s="4">
        <f t="shared" si="4"/>
        <v>29502.6</v>
      </c>
      <c r="H11" s="4">
        <f t="shared" si="5"/>
        <v>26659.916393470703</v>
      </c>
    </row>
    <row r="12" spans="1:11">
      <c r="A12">
        <v>5</v>
      </c>
      <c r="B12" s="3">
        <v>35000</v>
      </c>
      <c r="C12" s="3">
        <f t="shared" si="0"/>
        <v>1658.232103808755</v>
      </c>
      <c r="D12" s="3">
        <f t="shared" si="1"/>
        <v>230.3</v>
      </c>
      <c r="E12" s="4">
        <f t="shared" si="2"/>
        <v>350</v>
      </c>
      <c r="F12" s="3">
        <f t="shared" si="3"/>
        <v>0</v>
      </c>
      <c r="G12" s="4">
        <f t="shared" si="4"/>
        <v>34419.699999999997</v>
      </c>
      <c r="H12" s="4">
        <f t="shared" si="5"/>
        <v>31103.235792382486</v>
      </c>
    </row>
    <row r="13" spans="1:11">
      <c r="A13">
        <v>6</v>
      </c>
      <c r="B13" s="3">
        <v>40000</v>
      </c>
      <c r="C13" s="3">
        <f t="shared" si="0"/>
        <v>1895.1224043528632</v>
      </c>
      <c r="D13" s="3">
        <f t="shared" si="1"/>
        <v>263.2</v>
      </c>
      <c r="E13" s="4">
        <f t="shared" si="2"/>
        <v>400</v>
      </c>
      <c r="F13" s="3">
        <f t="shared" si="3"/>
        <v>0</v>
      </c>
      <c r="G13" s="4">
        <f t="shared" si="4"/>
        <v>39336.800000000003</v>
      </c>
      <c r="H13" s="4">
        <f t="shared" si="5"/>
        <v>35546.555191294276</v>
      </c>
    </row>
    <row r="14" spans="1:11">
      <c r="A14">
        <v>7</v>
      </c>
      <c r="B14" s="3">
        <v>45000</v>
      </c>
      <c r="C14" s="3">
        <f t="shared" si="0"/>
        <v>2132.0127048969712</v>
      </c>
      <c r="D14" s="3">
        <f t="shared" si="1"/>
        <v>296.10000000000002</v>
      </c>
      <c r="E14" s="4">
        <f t="shared" si="2"/>
        <v>450</v>
      </c>
      <c r="F14" s="3">
        <f t="shared" si="3"/>
        <v>0</v>
      </c>
      <c r="G14" s="4">
        <f t="shared" si="4"/>
        <v>44253.9</v>
      </c>
      <c r="H14" s="4">
        <f t="shared" si="5"/>
        <v>39989.874590206062</v>
      </c>
    </row>
    <row r="15" spans="1:11">
      <c r="A15">
        <v>8</v>
      </c>
      <c r="B15" s="3">
        <v>50000</v>
      </c>
      <c r="C15" s="3">
        <f t="shared" si="0"/>
        <v>2368.9030054410787</v>
      </c>
      <c r="D15" s="3">
        <f t="shared" si="1"/>
        <v>329</v>
      </c>
      <c r="E15" s="4">
        <f t="shared" si="2"/>
        <v>500</v>
      </c>
      <c r="F15" s="3">
        <f t="shared" si="3"/>
        <v>0</v>
      </c>
      <c r="G15" s="4">
        <f t="shared" si="4"/>
        <v>49171</v>
      </c>
      <c r="H15" s="4">
        <f t="shared" si="5"/>
        <v>44433.193989117841</v>
      </c>
    </row>
    <row r="16" spans="1:11">
      <c r="A16">
        <v>9</v>
      </c>
      <c r="B16" s="3">
        <v>55000</v>
      </c>
      <c r="C16" s="3">
        <f t="shared" si="0"/>
        <v>2605.7933059851866</v>
      </c>
      <c r="D16" s="3">
        <f t="shared" si="1"/>
        <v>361.9</v>
      </c>
      <c r="E16" s="4">
        <f t="shared" si="2"/>
        <v>550</v>
      </c>
      <c r="F16" s="3">
        <f t="shared" si="3"/>
        <v>0</v>
      </c>
      <c r="G16" s="4">
        <f t="shared" si="4"/>
        <v>54088.1</v>
      </c>
      <c r="H16" s="4">
        <f t="shared" si="5"/>
        <v>48876.513388029627</v>
      </c>
    </row>
    <row r="17" spans="1:8">
      <c r="A17">
        <v>10</v>
      </c>
      <c r="B17" s="3">
        <v>60000</v>
      </c>
      <c r="C17" s="3">
        <f t="shared" si="0"/>
        <v>2842.6836065292946</v>
      </c>
      <c r="D17" s="3">
        <f t="shared" si="1"/>
        <v>394.8</v>
      </c>
      <c r="E17" s="4">
        <f t="shared" si="2"/>
        <v>600</v>
      </c>
      <c r="F17" s="3">
        <f t="shared" si="3"/>
        <v>0</v>
      </c>
      <c r="G17" s="4">
        <f t="shared" si="4"/>
        <v>59005.2</v>
      </c>
      <c r="H17" s="4">
        <f t="shared" si="5"/>
        <v>53319.832786941406</v>
      </c>
    </row>
    <row r="18" spans="1:8">
      <c r="A18">
        <v>11</v>
      </c>
      <c r="B18" s="3">
        <v>65000</v>
      </c>
      <c r="C18" s="3">
        <f t="shared" si="0"/>
        <v>3079.5739070734026</v>
      </c>
      <c r="D18" s="3">
        <f t="shared" si="1"/>
        <v>427.7</v>
      </c>
      <c r="E18" s="4">
        <f t="shared" si="2"/>
        <v>650</v>
      </c>
      <c r="F18" s="3">
        <f t="shared" si="3"/>
        <v>0</v>
      </c>
      <c r="G18" s="4">
        <f t="shared" si="4"/>
        <v>63922.3</v>
      </c>
      <c r="H18" s="4">
        <f t="shared" si="5"/>
        <v>57763.1521858532</v>
      </c>
    </row>
    <row r="19" spans="1:8">
      <c r="A19">
        <v>12</v>
      </c>
      <c r="B19" s="3">
        <v>70000</v>
      </c>
      <c r="C19" s="3">
        <f t="shared" si="0"/>
        <v>3316.4642076175101</v>
      </c>
      <c r="D19" s="3">
        <f t="shared" si="1"/>
        <v>460.6</v>
      </c>
      <c r="E19" s="4">
        <f t="shared" si="2"/>
        <v>700</v>
      </c>
      <c r="F19" s="3">
        <f t="shared" si="3"/>
        <v>0</v>
      </c>
      <c r="G19" s="4">
        <f t="shared" si="4"/>
        <v>68839.399999999994</v>
      </c>
      <c r="H19" s="4">
        <f t="shared" si="5"/>
        <v>62206.471584764971</v>
      </c>
    </row>
    <row r="20" spans="1:8">
      <c r="A20">
        <v>13</v>
      </c>
      <c r="B20" s="3">
        <v>75000</v>
      </c>
      <c r="C20" s="3">
        <f t="shared" si="0"/>
        <v>3553.3545081616185</v>
      </c>
      <c r="D20" s="3">
        <f t="shared" si="1"/>
        <v>493.5</v>
      </c>
      <c r="E20" s="4">
        <f t="shared" si="2"/>
        <v>750</v>
      </c>
      <c r="F20" s="3">
        <f t="shared" si="3"/>
        <v>0</v>
      </c>
      <c r="G20" s="4">
        <f t="shared" si="4"/>
        <v>73756.5</v>
      </c>
      <c r="H20" s="4">
        <f t="shared" si="5"/>
        <v>66649.790983676765</v>
      </c>
    </row>
    <row r="21" spans="1:8">
      <c r="A21">
        <v>14</v>
      </c>
      <c r="B21" s="3">
        <v>80000</v>
      </c>
      <c r="C21" s="3">
        <f t="shared" si="0"/>
        <v>3790.2448087057264</v>
      </c>
      <c r="D21" s="3">
        <f t="shared" si="1"/>
        <v>526.4</v>
      </c>
      <c r="E21" s="4">
        <f t="shared" si="2"/>
        <v>800</v>
      </c>
      <c r="F21" s="3">
        <f t="shared" si="3"/>
        <v>0</v>
      </c>
      <c r="G21" s="4">
        <f t="shared" si="4"/>
        <v>78673.600000000006</v>
      </c>
      <c r="H21" s="4">
        <f t="shared" si="5"/>
        <v>71093.110382588551</v>
      </c>
    </row>
    <row r="22" spans="1:8">
      <c r="A22">
        <v>15</v>
      </c>
      <c r="B22" s="3">
        <v>85000</v>
      </c>
      <c r="C22" s="3">
        <f t="shared" si="0"/>
        <v>4027.1351092498339</v>
      </c>
      <c r="D22" s="3">
        <f t="shared" si="1"/>
        <v>559.29999999999995</v>
      </c>
      <c r="E22" s="4">
        <f t="shared" si="2"/>
        <v>850</v>
      </c>
      <c r="F22" s="3">
        <f t="shared" si="3"/>
        <v>0</v>
      </c>
      <c r="G22" s="4">
        <f t="shared" si="4"/>
        <v>83590.7</v>
      </c>
      <c r="H22" s="4">
        <f t="shared" si="5"/>
        <v>75536.429781500323</v>
      </c>
    </row>
    <row r="23" spans="1:8">
      <c r="A23">
        <v>16</v>
      </c>
      <c r="B23" s="3">
        <v>90000</v>
      </c>
      <c r="C23" s="3">
        <f t="shared" si="0"/>
        <v>4264.0254097939423</v>
      </c>
      <c r="D23" s="3">
        <f t="shared" si="1"/>
        <v>592.20000000000005</v>
      </c>
      <c r="E23" s="4">
        <f t="shared" si="2"/>
        <v>900</v>
      </c>
      <c r="F23" s="3">
        <f t="shared" si="3"/>
        <v>0</v>
      </c>
      <c r="G23" s="4">
        <f t="shared" si="4"/>
        <v>88507.8</v>
      </c>
      <c r="H23" s="4">
        <f t="shared" si="5"/>
        <v>79979.749180412124</v>
      </c>
    </row>
    <row r="24" spans="1:8">
      <c r="A24">
        <v>17</v>
      </c>
      <c r="B24" s="3">
        <v>95000</v>
      </c>
      <c r="C24" s="3">
        <f t="shared" si="0"/>
        <v>4500.9157103380503</v>
      </c>
      <c r="D24" s="3">
        <f t="shared" si="1"/>
        <v>625.1</v>
      </c>
      <c r="E24" s="4">
        <f t="shared" si="2"/>
        <v>950</v>
      </c>
      <c r="F24" s="3">
        <f t="shared" si="3"/>
        <v>0</v>
      </c>
      <c r="G24" s="4">
        <f t="shared" si="4"/>
        <v>93424.9</v>
      </c>
      <c r="H24" s="4">
        <f t="shared" si="5"/>
        <v>84423.068579323895</v>
      </c>
    </row>
    <row r="25" spans="1:8">
      <c r="A25">
        <v>18</v>
      </c>
      <c r="B25" s="3">
        <v>100000</v>
      </c>
      <c r="C25" s="3">
        <f t="shared" si="0"/>
        <v>4737.8060108821574</v>
      </c>
      <c r="D25" s="3">
        <f t="shared" si="1"/>
        <v>658</v>
      </c>
      <c r="E25" s="4">
        <f t="shared" si="2"/>
        <v>1000</v>
      </c>
      <c r="F25" s="3">
        <f t="shared" si="3"/>
        <v>0</v>
      </c>
      <c r="G25" s="4">
        <f t="shared" si="4"/>
        <v>98342</v>
      </c>
      <c r="H25" s="4">
        <f t="shared" si="5"/>
        <v>88866.387978235682</v>
      </c>
    </row>
    <row r="26" spans="1:8">
      <c r="A26">
        <v>19</v>
      </c>
      <c r="B26" s="3">
        <v>105000</v>
      </c>
      <c r="C26" s="3">
        <f t="shared" si="0"/>
        <v>4974.6963114262653</v>
      </c>
      <c r="D26" s="3">
        <f t="shared" si="1"/>
        <v>690.9</v>
      </c>
      <c r="E26" s="4">
        <f t="shared" si="2"/>
        <v>1050</v>
      </c>
      <c r="F26" s="3">
        <f t="shared" si="3"/>
        <v>0</v>
      </c>
      <c r="G26" s="4">
        <f t="shared" si="4"/>
        <v>103259.1</v>
      </c>
      <c r="H26" s="4">
        <f t="shared" si="5"/>
        <v>93309.707377147482</v>
      </c>
    </row>
    <row r="27" spans="1:8">
      <c r="A27">
        <v>20</v>
      </c>
      <c r="B27" s="3">
        <v>110000</v>
      </c>
      <c r="C27" s="3">
        <f t="shared" si="0"/>
        <v>5211.5866119703733</v>
      </c>
      <c r="D27" s="3">
        <f t="shared" si="1"/>
        <v>723.8</v>
      </c>
      <c r="E27" s="4">
        <f t="shared" si="2"/>
        <v>1100</v>
      </c>
      <c r="F27" s="3">
        <f t="shared" si="3"/>
        <v>0</v>
      </c>
      <c r="G27" s="4">
        <f t="shared" si="4"/>
        <v>108176.2</v>
      </c>
      <c r="H27" s="4">
        <f t="shared" si="5"/>
        <v>97753.026776059254</v>
      </c>
    </row>
    <row r="28" spans="1:8">
      <c r="A28">
        <v>21</v>
      </c>
      <c r="B28" s="3">
        <v>115000</v>
      </c>
      <c r="C28" s="3">
        <f t="shared" si="0"/>
        <v>5448.4769125144812</v>
      </c>
      <c r="D28" s="3">
        <f t="shared" si="1"/>
        <v>756.7</v>
      </c>
      <c r="E28" s="4">
        <f t="shared" si="2"/>
        <v>1150</v>
      </c>
      <c r="F28" s="3">
        <f t="shared" si="3"/>
        <v>0</v>
      </c>
      <c r="G28" s="4">
        <f t="shared" si="4"/>
        <v>113093.3</v>
      </c>
      <c r="H28" s="4">
        <f t="shared" si="5"/>
        <v>102196.34617497104</v>
      </c>
    </row>
    <row r="29" spans="1:8">
      <c r="A29">
        <v>22</v>
      </c>
      <c r="B29" s="3">
        <v>120000</v>
      </c>
      <c r="C29" s="3">
        <f t="shared" si="0"/>
        <v>5685.3672130585892</v>
      </c>
      <c r="D29" s="3">
        <f t="shared" si="1"/>
        <v>789.6</v>
      </c>
      <c r="E29" s="4">
        <f t="shared" si="2"/>
        <v>1200</v>
      </c>
      <c r="F29" s="3">
        <f t="shared" si="3"/>
        <v>0</v>
      </c>
      <c r="G29" s="4">
        <f t="shared" si="4"/>
        <v>118010.4</v>
      </c>
      <c r="H29" s="4">
        <f t="shared" si="5"/>
        <v>106639.66557388281</v>
      </c>
    </row>
    <row r="30" spans="1:8">
      <c r="A30">
        <v>23</v>
      </c>
      <c r="B30" s="3">
        <v>125000</v>
      </c>
      <c r="C30" s="3">
        <f t="shared" si="0"/>
        <v>5922.2575136026971</v>
      </c>
      <c r="D30" s="3">
        <f t="shared" si="1"/>
        <v>822.5</v>
      </c>
      <c r="E30" s="4">
        <f t="shared" si="2"/>
        <v>1250</v>
      </c>
      <c r="F30" s="3">
        <f t="shared" si="3"/>
        <v>0</v>
      </c>
      <c r="G30" s="4">
        <f t="shared" si="4"/>
        <v>122927.5</v>
      </c>
      <c r="H30" s="4">
        <f t="shared" si="5"/>
        <v>111082.9849727946</v>
      </c>
    </row>
    <row r="31" spans="1:8">
      <c r="A31">
        <v>24</v>
      </c>
      <c r="B31" s="3">
        <v>130000</v>
      </c>
      <c r="C31" s="3">
        <f t="shared" si="0"/>
        <v>6159.1478141468051</v>
      </c>
      <c r="D31" s="3">
        <f t="shared" si="1"/>
        <v>855.4</v>
      </c>
      <c r="E31" s="4">
        <f t="shared" si="2"/>
        <v>1300</v>
      </c>
      <c r="F31" s="3">
        <f t="shared" si="3"/>
        <v>0</v>
      </c>
      <c r="G31" s="4">
        <f t="shared" si="4"/>
        <v>127844.6</v>
      </c>
      <c r="H31" s="4">
        <f t="shared" si="5"/>
        <v>115526.3043717064</v>
      </c>
    </row>
    <row r="32" spans="1:8">
      <c r="A32">
        <v>25</v>
      </c>
      <c r="B32" s="3">
        <v>135000</v>
      </c>
      <c r="C32" s="3">
        <f t="shared" si="0"/>
        <v>6396.0381146909122</v>
      </c>
      <c r="D32" s="3">
        <f t="shared" si="1"/>
        <v>888.3</v>
      </c>
      <c r="E32" s="4">
        <f t="shared" si="2"/>
        <v>1350</v>
      </c>
      <c r="F32" s="3">
        <f t="shared" si="3"/>
        <v>0</v>
      </c>
      <c r="G32" s="4">
        <f t="shared" si="4"/>
        <v>132761.70000000001</v>
      </c>
      <c r="H32" s="4">
        <f t="shared" si="5"/>
        <v>119969.62377061819</v>
      </c>
    </row>
    <row r="33" spans="1:8">
      <c r="A33">
        <v>26</v>
      </c>
      <c r="B33" s="3">
        <v>140000</v>
      </c>
      <c r="C33" s="3">
        <f t="shared" si="0"/>
        <v>6632.9284152350201</v>
      </c>
      <c r="D33" s="3">
        <f t="shared" si="1"/>
        <v>921.2</v>
      </c>
      <c r="E33" s="4">
        <f t="shared" si="2"/>
        <v>1400</v>
      </c>
      <c r="F33" s="3">
        <f t="shared" si="3"/>
        <v>0</v>
      </c>
      <c r="G33" s="4">
        <f t="shared" si="4"/>
        <v>137678.79999999999</v>
      </c>
      <c r="H33" s="4">
        <f t="shared" si="5"/>
        <v>124412.94316952994</v>
      </c>
    </row>
    <row r="34" spans="1:8">
      <c r="A34">
        <v>27</v>
      </c>
      <c r="B34" s="3">
        <v>145000</v>
      </c>
      <c r="C34" s="3">
        <f t="shared" si="0"/>
        <v>6869.8187157791281</v>
      </c>
      <c r="D34" s="3">
        <f t="shared" si="1"/>
        <v>954.1</v>
      </c>
      <c r="E34" s="4">
        <f t="shared" si="2"/>
        <v>1450</v>
      </c>
      <c r="F34" s="3">
        <f t="shared" si="3"/>
        <v>0</v>
      </c>
      <c r="G34" s="4">
        <f t="shared" si="4"/>
        <v>142595.9</v>
      </c>
      <c r="H34" s="4">
        <f t="shared" si="5"/>
        <v>128856.26256844174</v>
      </c>
    </row>
    <row r="35" spans="1:8">
      <c r="A35">
        <v>28</v>
      </c>
      <c r="B35" s="3">
        <v>150000</v>
      </c>
      <c r="C35" s="3">
        <f t="shared" si="0"/>
        <v>7106.7090163232369</v>
      </c>
      <c r="D35" s="3">
        <f t="shared" si="1"/>
        <v>987</v>
      </c>
      <c r="E35" s="4">
        <f t="shared" si="2"/>
        <v>1500</v>
      </c>
      <c r="F35" s="3">
        <f t="shared" si="3"/>
        <v>0</v>
      </c>
      <c r="G35" s="4">
        <f t="shared" si="4"/>
        <v>147513</v>
      </c>
      <c r="H35" s="4">
        <f t="shared" si="5"/>
        <v>133299.58196735353</v>
      </c>
    </row>
    <row r="36" spans="1:8">
      <c r="A36">
        <v>29</v>
      </c>
      <c r="B36" s="3">
        <v>155000</v>
      </c>
      <c r="C36" s="3">
        <f t="shared" si="0"/>
        <v>7343.5993168673449</v>
      </c>
      <c r="D36" s="3">
        <f t="shared" si="1"/>
        <v>1019.9</v>
      </c>
      <c r="E36" s="4">
        <f t="shared" si="2"/>
        <v>1550</v>
      </c>
      <c r="F36" s="3">
        <f t="shared" si="3"/>
        <v>0</v>
      </c>
      <c r="G36" s="4">
        <f t="shared" si="4"/>
        <v>152430.1</v>
      </c>
      <c r="H36" s="4">
        <f t="shared" si="5"/>
        <v>137742.90136626532</v>
      </c>
    </row>
    <row r="37" spans="1:8">
      <c r="A37">
        <v>30</v>
      </c>
      <c r="B37" s="3">
        <v>160000</v>
      </c>
      <c r="C37" s="3">
        <f t="shared" si="0"/>
        <v>7580.4896174114529</v>
      </c>
      <c r="D37" s="3">
        <f t="shared" si="1"/>
        <v>1052.8</v>
      </c>
      <c r="E37" s="4">
        <f t="shared" si="2"/>
        <v>1600</v>
      </c>
      <c r="F37" s="3">
        <f t="shared" si="3"/>
        <v>0</v>
      </c>
      <c r="G37" s="4">
        <f t="shared" si="4"/>
        <v>157347.20000000001</v>
      </c>
      <c r="H37" s="4">
        <f t="shared" si="5"/>
        <v>142186.2207651771</v>
      </c>
    </row>
    <row r="38" spans="1:8">
      <c r="A38">
        <v>31</v>
      </c>
      <c r="B38" s="3">
        <v>165000</v>
      </c>
      <c r="C38" s="3">
        <f t="shared" si="0"/>
        <v>7817.3799179555599</v>
      </c>
      <c r="D38" s="3">
        <f t="shared" si="1"/>
        <v>1085.7</v>
      </c>
      <c r="E38" s="4">
        <f t="shared" si="2"/>
        <v>1650</v>
      </c>
      <c r="F38" s="3">
        <f t="shared" si="3"/>
        <v>0</v>
      </c>
      <c r="G38" s="4">
        <f t="shared" si="4"/>
        <v>162264.29999999999</v>
      </c>
      <c r="H38" s="4">
        <f t="shared" si="5"/>
        <v>146629.54016408886</v>
      </c>
    </row>
    <row r="39" spans="1:8">
      <c r="A39">
        <v>32</v>
      </c>
      <c r="B39" s="3">
        <v>170000</v>
      </c>
      <c r="C39" s="3">
        <f t="shared" si="0"/>
        <v>8054.2702184996679</v>
      </c>
      <c r="D39" s="3">
        <f t="shared" si="1"/>
        <v>1118.5999999999999</v>
      </c>
      <c r="E39" s="4">
        <f t="shared" si="2"/>
        <v>1700</v>
      </c>
      <c r="F39" s="3">
        <f t="shared" si="3"/>
        <v>0</v>
      </c>
      <c r="G39" s="4">
        <f t="shared" si="4"/>
        <v>167181.4</v>
      </c>
      <c r="H39" s="4">
        <f t="shared" si="5"/>
        <v>151072.85956300065</v>
      </c>
    </row>
    <row r="40" spans="1:8">
      <c r="A40">
        <v>33</v>
      </c>
      <c r="B40" s="3">
        <v>175000</v>
      </c>
      <c r="C40" s="3">
        <f t="shared" si="0"/>
        <v>8291.1605190437767</v>
      </c>
      <c r="D40" s="3">
        <f t="shared" si="1"/>
        <v>1151.5</v>
      </c>
      <c r="E40" s="4">
        <f t="shared" si="2"/>
        <v>1750</v>
      </c>
      <c r="F40" s="3">
        <f t="shared" si="3"/>
        <v>0</v>
      </c>
      <c r="G40" s="4">
        <f t="shared" si="4"/>
        <v>172098.5</v>
      </c>
      <c r="H40" s="4">
        <f t="shared" si="5"/>
        <v>155516.17896191246</v>
      </c>
    </row>
    <row r="41" spans="1:8">
      <c r="A41">
        <v>34</v>
      </c>
      <c r="B41" s="3">
        <v>180000</v>
      </c>
      <c r="C41" s="3">
        <f t="shared" si="0"/>
        <v>8528.0508195878847</v>
      </c>
      <c r="D41" s="3">
        <f t="shared" si="1"/>
        <v>1184.4000000000001</v>
      </c>
      <c r="E41" s="4">
        <f t="shared" si="2"/>
        <v>1800</v>
      </c>
      <c r="F41" s="3">
        <f t="shared" si="3"/>
        <v>0</v>
      </c>
      <c r="G41" s="4">
        <f t="shared" si="4"/>
        <v>177015.6</v>
      </c>
      <c r="H41" s="4">
        <f t="shared" si="5"/>
        <v>159959.49836082425</v>
      </c>
    </row>
    <row r="42" spans="1:8">
      <c r="A42">
        <v>35</v>
      </c>
      <c r="B42" s="3">
        <v>185000</v>
      </c>
      <c r="C42" s="3">
        <f t="shared" si="0"/>
        <v>8764.9411201319926</v>
      </c>
      <c r="D42" s="3">
        <f t="shared" si="1"/>
        <v>1217.3</v>
      </c>
      <c r="E42" s="4">
        <f t="shared" si="2"/>
        <v>1850</v>
      </c>
      <c r="F42" s="3">
        <f t="shared" si="3"/>
        <v>0</v>
      </c>
      <c r="G42" s="4">
        <f t="shared" si="4"/>
        <v>181932.7</v>
      </c>
      <c r="H42" s="4">
        <f t="shared" si="5"/>
        <v>164402.81775973603</v>
      </c>
    </row>
    <row r="43" spans="1:8">
      <c r="A43">
        <v>36</v>
      </c>
      <c r="B43" s="3">
        <v>190000</v>
      </c>
      <c r="C43" s="3">
        <f t="shared" si="0"/>
        <v>9001.8314206761006</v>
      </c>
      <c r="D43" s="3">
        <f t="shared" si="1"/>
        <v>1250.2</v>
      </c>
      <c r="E43" s="4">
        <f t="shared" si="2"/>
        <v>1900</v>
      </c>
      <c r="F43" s="3">
        <f t="shared" si="3"/>
        <v>0</v>
      </c>
      <c r="G43" s="4">
        <f t="shared" si="4"/>
        <v>186849.8</v>
      </c>
      <c r="H43" s="4">
        <f t="shared" si="5"/>
        <v>168846.13715864779</v>
      </c>
    </row>
    <row r="44" spans="1:8">
      <c r="A44">
        <v>37</v>
      </c>
      <c r="B44" s="3">
        <v>195000</v>
      </c>
      <c r="C44" s="3">
        <f t="shared" si="0"/>
        <v>9238.7217212202067</v>
      </c>
      <c r="D44" s="3">
        <f t="shared" si="1"/>
        <v>1283.0999999999999</v>
      </c>
      <c r="E44" s="4">
        <f t="shared" si="2"/>
        <v>1950</v>
      </c>
      <c r="F44" s="3">
        <f t="shared" si="3"/>
        <v>0</v>
      </c>
      <c r="G44" s="4">
        <f t="shared" si="4"/>
        <v>191766.9</v>
      </c>
      <c r="H44" s="4">
        <f t="shared" si="5"/>
        <v>173289.45655755958</v>
      </c>
    </row>
    <row r="45" spans="1:8">
      <c r="A45">
        <v>38</v>
      </c>
      <c r="B45" s="3">
        <v>200000</v>
      </c>
      <c r="C45" s="3">
        <f t="shared" si="0"/>
        <v>9475.6120217643147</v>
      </c>
      <c r="D45" s="3">
        <f t="shared" si="1"/>
        <v>1316</v>
      </c>
      <c r="E45" s="4">
        <f t="shared" si="2"/>
        <v>2000</v>
      </c>
      <c r="F45" s="3">
        <f t="shared" si="3"/>
        <v>0</v>
      </c>
      <c r="G45" s="4">
        <f t="shared" si="4"/>
        <v>196684</v>
      </c>
      <c r="H45" s="4">
        <f t="shared" si="5"/>
        <v>177732.77595647136</v>
      </c>
    </row>
    <row r="46" spans="1:8">
      <c r="A46">
        <v>39</v>
      </c>
      <c r="B46" s="3">
        <v>205000</v>
      </c>
      <c r="C46" s="3">
        <f t="shared" si="0"/>
        <v>9712.5023223084227</v>
      </c>
      <c r="D46" s="3">
        <f t="shared" si="1"/>
        <v>1348.9</v>
      </c>
      <c r="E46" s="4">
        <f t="shared" si="2"/>
        <v>2050</v>
      </c>
      <c r="F46" s="3">
        <f t="shared" si="3"/>
        <v>0</v>
      </c>
      <c r="G46" s="4">
        <f t="shared" si="4"/>
        <v>201601.1</v>
      </c>
      <c r="H46" s="4">
        <f t="shared" si="5"/>
        <v>182176.09535538315</v>
      </c>
    </row>
    <row r="47" spans="1:8">
      <c r="A47">
        <v>40</v>
      </c>
      <c r="B47" s="3">
        <v>210000</v>
      </c>
      <c r="C47" s="3">
        <f t="shared" si="0"/>
        <v>9949.3926228525306</v>
      </c>
      <c r="D47" s="3">
        <f t="shared" si="1"/>
        <v>1381.8</v>
      </c>
      <c r="E47" s="4">
        <f t="shared" si="2"/>
        <v>2100</v>
      </c>
      <c r="F47" s="3">
        <f t="shared" si="3"/>
        <v>0</v>
      </c>
      <c r="G47" s="4">
        <f t="shared" si="4"/>
        <v>206518.2</v>
      </c>
      <c r="H47" s="4">
        <f t="shared" si="5"/>
        <v>186619.41475429496</v>
      </c>
    </row>
    <row r="48" spans="1:8">
      <c r="A48">
        <v>41</v>
      </c>
      <c r="B48" s="3">
        <v>215000</v>
      </c>
      <c r="C48" s="3">
        <f t="shared" si="0"/>
        <v>10186.282923396639</v>
      </c>
      <c r="D48" s="3">
        <f t="shared" si="1"/>
        <v>1414.7</v>
      </c>
      <c r="E48" s="4">
        <f t="shared" si="2"/>
        <v>2150</v>
      </c>
      <c r="F48" s="3">
        <f t="shared" si="3"/>
        <v>0</v>
      </c>
      <c r="G48" s="4">
        <f t="shared" si="4"/>
        <v>211435.3</v>
      </c>
      <c r="H48" s="4">
        <f t="shared" si="5"/>
        <v>191062.73415320672</v>
      </c>
    </row>
    <row r="49" spans="1:8">
      <c r="A49">
        <v>42</v>
      </c>
      <c r="B49" s="3">
        <v>220000</v>
      </c>
      <c r="C49" s="3">
        <f t="shared" si="0"/>
        <v>10423.173223940747</v>
      </c>
      <c r="D49" s="3">
        <f t="shared" si="1"/>
        <v>1447.6</v>
      </c>
      <c r="E49" s="4">
        <f t="shared" si="2"/>
        <v>2200</v>
      </c>
      <c r="F49" s="3">
        <f t="shared" si="3"/>
        <v>0</v>
      </c>
      <c r="G49" s="4">
        <f t="shared" si="4"/>
        <v>216352.4</v>
      </c>
      <c r="H49" s="4">
        <f t="shared" si="5"/>
        <v>195506.05355211851</v>
      </c>
    </row>
    <row r="50" spans="1:8">
      <c r="A50">
        <v>43</v>
      </c>
      <c r="B50" s="3">
        <v>225000</v>
      </c>
      <c r="C50" s="3">
        <f t="shared" si="0"/>
        <v>10660.063524484854</v>
      </c>
      <c r="D50" s="3">
        <f t="shared" si="1"/>
        <v>1480.5</v>
      </c>
      <c r="E50" s="4">
        <f t="shared" si="2"/>
        <v>2250</v>
      </c>
      <c r="F50" s="3">
        <f t="shared" si="3"/>
        <v>0</v>
      </c>
      <c r="G50" s="4">
        <f t="shared" si="4"/>
        <v>221269.5</v>
      </c>
      <c r="H50" s="4">
        <f t="shared" si="5"/>
        <v>199949.37295103029</v>
      </c>
    </row>
    <row r="51" spans="1:8">
      <c r="A51">
        <v>44</v>
      </c>
      <c r="B51" s="3">
        <v>230000</v>
      </c>
      <c r="C51" s="3">
        <f t="shared" si="0"/>
        <v>10896.953825028962</v>
      </c>
      <c r="D51" s="3">
        <f t="shared" si="1"/>
        <v>1513.4</v>
      </c>
      <c r="E51" s="4">
        <f t="shared" si="2"/>
        <v>2300</v>
      </c>
      <c r="F51" s="3">
        <f t="shared" si="3"/>
        <v>0</v>
      </c>
      <c r="G51" s="4">
        <f t="shared" si="4"/>
        <v>226186.6</v>
      </c>
      <c r="H51" s="4">
        <f t="shared" si="5"/>
        <v>204392.69234994208</v>
      </c>
    </row>
    <row r="52" spans="1:8">
      <c r="A52">
        <v>45</v>
      </c>
      <c r="B52" s="3">
        <v>235000</v>
      </c>
      <c r="C52" s="3">
        <f t="shared" si="0"/>
        <v>11133.84412557307</v>
      </c>
      <c r="D52" s="3">
        <f t="shared" si="1"/>
        <v>1546.3</v>
      </c>
      <c r="E52" s="4">
        <f t="shared" si="2"/>
        <v>2350</v>
      </c>
      <c r="F52" s="3">
        <f t="shared" si="3"/>
        <v>0</v>
      </c>
      <c r="G52" s="4">
        <f t="shared" si="4"/>
        <v>231103.7</v>
      </c>
      <c r="H52" s="4">
        <f t="shared" si="5"/>
        <v>208836.01174885387</v>
      </c>
    </row>
    <row r="53" spans="1:8">
      <c r="A53">
        <v>46</v>
      </c>
      <c r="B53" s="3">
        <v>240000</v>
      </c>
      <c r="C53" s="3">
        <f t="shared" si="0"/>
        <v>11370.734426117178</v>
      </c>
      <c r="D53" s="3">
        <f t="shared" si="1"/>
        <v>1579.2</v>
      </c>
      <c r="E53" s="4">
        <f t="shared" si="2"/>
        <v>2400</v>
      </c>
      <c r="F53" s="3">
        <f t="shared" si="3"/>
        <v>0</v>
      </c>
      <c r="G53" s="4">
        <f t="shared" si="4"/>
        <v>236020.8</v>
      </c>
      <c r="H53" s="4">
        <f t="shared" si="5"/>
        <v>213279.33114776562</v>
      </c>
    </row>
    <row r="54" spans="1:8">
      <c r="A54">
        <v>47</v>
      </c>
      <c r="B54" s="3">
        <v>245000</v>
      </c>
      <c r="C54" s="3">
        <f t="shared" si="0"/>
        <v>11607.624726661286</v>
      </c>
      <c r="D54" s="3">
        <f t="shared" si="1"/>
        <v>1612.1</v>
      </c>
      <c r="E54" s="4">
        <f t="shared" si="2"/>
        <v>2450</v>
      </c>
      <c r="F54" s="3">
        <f t="shared" si="3"/>
        <v>0</v>
      </c>
      <c r="G54" s="4">
        <f t="shared" si="4"/>
        <v>240937.9</v>
      </c>
      <c r="H54" s="4">
        <f t="shared" si="5"/>
        <v>217722.65054667741</v>
      </c>
    </row>
    <row r="55" spans="1:8">
      <c r="A55">
        <v>48</v>
      </c>
      <c r="B55" s="3">
        <v>250000</v>
      </c>
      <c r="C55" s="3">
        <f t="shared" si="0"/>
        <v>11844.515027205394</v>
      </c>
      <c r="D55" s="3">
        <f t="shared" si="1"/>
        <v>1645</v>
      </c>
      <c r="E55" s="4">
        <f t="shared" si="2"/>
        <v>2500</v>
      </c>
      <c r="F55" s="3">
        <f t="shared" si="3"/>
        <v>1250</v>
      </c>
      <c r="G55" s="4">
        <f t="shared" si="4"/>
        <v>244605</v>
      </c>
      <c r="H55" s="4">
        <f t="shared" si="5"/>
        <v>220915.9699455892</v>
      </c>
    </row>
    <row r="56" spans="1:8">
      <c r="A56">
        <v>49</v>
      </c>
      <c r="B56" s="3">
        <v>255000</v>
      </c>
      <c r="C56" s="3">
        <f t="shared" si="0"/>
        <v>12081.405327749502</v>
      </c>
      <c r="D56" s="3">
        <f t="shared" si="1"/>
        <v>1677.9</v>
      </c>
      <c r="E56" s="4">
        <f t="shared" si="2"/>
        <v>2550</v>
      </c>
      <c r="F56" s="3">
        <f t="shared" si="3"/>
        <v>1275</v>
      </c>
      <c r="G56" s="4">
        <f t="shared" si="4"/>
        <v>249497.1</v>
      </c>
      <c r="H56" s="4">
        <f t="shared" si="5"/>
        <v>225334.28934450101</v>
      </c>
    </row>
    <row r="57" spans="1:8">
      <c r="A57">
        <v>50</v>
      </c>
      <c r="B57" s="3">
        <v>260000</v>
      </c>
      <c r="C57" s="3">
        <f t="shared" si="0"/>
        <v>12318.29562829361</v>
      </c>
      <c r="D57" s="3">
        <f t="shared" si="1"/>
        <v>1710.8</v>
      </c>
      <c r="E57" s="4">
        <f t="shared" si="2"/>
        <v>2600</v>
      </c>
      <c r="F57" s="3">
        <f t="shared" si="3"/>
        <v>1300</v>
      </c>
      <c r="G57" s="4">
        <f t="shared" si="4"/>
        <v>254389.2</v>
      </c>
      <c r="H57" s="4">
        <f t="shared" si="5"/>
        <v>229752.6087434128</v>
      </c>
    </row>
    <row r="58" spans="1:8">
      <c r="A58">
        <v>51</v>
      </c>
      <c r="B58" s="3">
        <v>265000</v>
      </c>
      <c r="C58" s="3">
        <f t="shared" si="0"/>
        <v>12555.185928837718</v>
      </c>
      <c r="D58" s="3">
        <f t="shared" si="1"/>
        <v>1743.7</v>
      </c>
      <c r="E58" s="4">
        <f t="shared" si="2"/>
        <v>2650</v>
      </c>
      <c r="F58" s="3">
        <f t="shared" si="3"/>
        <v>1325</v>
      </c>
      <c r="G58" s="4">
        <f t="shared" si="4"/>
        <v>259281.3</v>
      </c>
      <c r="H58" s="4">
        <f t="shared" si="5"/>
        <v>234170.92814232456</v>
      </c>
    </row>
    <row r="59" spans="1:8">
      <c r="A59">
        <v>52</v>
      </c>
      <c r="B59" s="3">
        <v>270000</v>
      </c>
      <c r="C59" s="3">
        <f t="shared" si="0"/>
        <v>12792.076229381824</v>
      </c>
      <c r="D59" s="3">
        <f t="shared" si="1"/>
        <v>1776.6</v>
      </c>
      <c r="E59" s="4">
        <f t="shared" si="2"/>
        <v>2700</v>
      </c>
      <c r="F59" s="3">
        <f t="shared" si="3"/>
        <v>1350</v>
      </c>
      <c r="G59" s="4">
        <f t="shared" si="4"/>
        <v>264173.40000000002</v>
      </c>
      <c r="H59" s="4">
        <f t="shared" si="5"/>
        <v>238589.24754123637</v>
      </c>
    </row>
    <row r="60" spans="1:8">
      <c r="A60">
        <v>53</v>
      </c>
      <c r="B60" s="3">
        <v>275000</v>
      </c>
      <c r="C60" s="3">
        <f t="shared" si="0"/>
        <v>13028.966529925932</v>
      </c>
      <c r="D60" s="3">
        <f t="shared" si="1"/>
        <v>1809.5</v>
      </c>
      <c r="E60" s="4">
        <f t="shared" si="2"/>
        <v>2750</v>
      </c>
      <c r="F60" s="3">
        <f t="shared" si="3"/>
        <v>1375</v>
      </c>
      <c r="G60" s="4">
        <f t="shared" si="4"/>
        <v>269065.5</v>
      </c>
      <c r="H60" s="4">
        <f t="shared" si="5"/>
        <v>243007.56694014813</v>
      </c>
    </row>
    <row r="61" spans="1:8">
      <c r="A61">
        <v>54</v>
      </c>
      <c r="B61" s="3">
        <v>280000</v>
      </c>
      <c r="C61" s="3">
        <f t="shared" si="0"/>
        <v>13265.85683047004</v>
      </c>
      <c r="D61" s="3">
        <f t="shared" si="1"/>
        <v>1842.4</v>
      </c>
      <c r="E61" s="4">
        <f t="shared" si="2"/>
        <v>2800</v>
      </c>
      <c r="F61" s="3">
        <f t="shared" si="3"/>
        <v>1400</v>
      </c>
      <c r="G61" s="4">
        <f t="shared" si="4"/>
        <v>273957.59999999998</v>
      </c>
      <c r="H61" s="4">
        <f t="shared" si="5"/>
        <v>247425.88633905989</v>
      </c>
    </row>
    <row r="62" spans="1:8">
      <c r="A62">
        <v>55</v>
      </c>
      <c r="B62" s="3">
        <v>285000</v>
      </c>
      <c r="C62" s="3">
        <f t="shared" si="0"/>
        <v>13502.747131014148</v>
      </c>
      <c r="D62" s="3">
        <f t="shared" si="1"/>
        <v>1875.3</v>
      </c>
      <c r="E62" s="4">
        <f t="shared" si="2"/>
        <v>2850</v>
      </c>
      <c r="F62" s="3">
        <f t="shared" si="3"/>
        <v>1425</v>
      </c>
      <c r="G62" s="4">
        <f t="shared" si="4"/>
        <v>278849.7</v>
      </c>
      <c r="H62" s="4">
        <f t="shared" si="5"/>
        <v>251844.2057379717</v>
      </c>
    </row>
    <row r="63" spans="1:8">
      <c r="A63">
        <v>56</v>
      </c>
      <c r="B63" s="3">
        <v>290000</v>
      </c>
      <c r="C63" s="3">
        <f t="shared" si="0"/>
        <v>13739.637431558256</v>
      </c>
      <c r="D63" s="3">
        <f t="shared" si="1"/>
        <v>1908.2</v>
      </c>
      <c r="E63" s="4">
        <f t="shared" si="2"/>
        <v>2900</v>
      </c>
      <c r="F63" s="3">
        <f t="shared" si="3"/>
        <v>1450</v>
      </c>
      <c r="G63" s="4">
        <f t="shared" si="4"/>
        <v>283741.8</v>
      </c>
      <c r="H63" s="4">
        <f t="shared" si="5"/>
        <v>256262.52513688349</v>
      </c>
    </row>
    <row r="64" spans="1:8">
      <c r="A64">
        <v>57</v>
      </c>
      <c r="B64" s="3">
        <v>295000</v>
      </c>
      <c r="C64" s="3">
        <f t="shared" si="0"/>
        <v>13976.527732102366</v>
      </c>
      <c r="D64" s="3">
        <f t="shared" si="1"/>
        <v>1941.1</v>
      </c>
      <c r="E64" s="4">
        <f t="shared" si="2"/>
        <v>2950</v>
      </c>
      <c r="F64" s="3">
        <f t="shared" si="3"/>
        <v>1475</v>
      </c>
      <c r="G64" s="4">
        <f t="shared" si="4"/>
        <v>288633.90000000002</v>
      </c>
      <c r="H64" s="4">
        <f t="shared" si="5"/>
        <v>260680.8445357953</v>
      </c>
    </row>
    <row r="65" spans="1:8">
      <c r="A65">
        <v>58</v>
      </c>
      <c r="B65" s="3">
        <v>300000</v>
      </c>
      <c r="C65" s="3">
        <f t="shared" si="0"/>
        <v>14213.418032646474</v>
      </c>
      <c r="D65" s="3">
        <f t="shared" si="1"/>
        <v>1974</v>
      </c>
      <c r="E65" s="4">
        <f t="shared" si="2"/>
        <v>3000</v>
      </c>
      <c r="F65" s="3">
        <f t="shared" si="3"/>
        <v>1500</v>
      </c>
      <c r="G65" s="4">
        <f t="shared" si="4"/>
        <v>293526</v>
      </c>
      <c r="H65" s="4">
        <f t="shared" si="5"/>
        <v>265099.16393470706</v>
      </c>
    </row>
    <row r="66" spans="1:8">
      <c r="A66">
        <v>59</v>
      </c>
      <c r="B66" s="3">
        <v>305000</v>
      </c>
      <c r="C66" s="3">
        <f t="shared" si="0"/>
        <v>14450.308333190582</v>
      </c>
      <c r="D66" s="3">
        <f t="shared" si="1"/>
        <v>2006.9</v>
      </c>
      <c r="E66" s="4">
        <f t="shared" si="2"/>
        <v>3050</v>
      </c>
      <c r="F66" s="3">
        <f t="shared" si="3"/>
        <v>1525</v>
      </c>
      <c r="G66" s="4">
        <f t="shared" si="4"/>
        <v>298418.09999999998</v>
      </c>
      <c r="H66" s="4">
        <f t="shared" si="5"/>
        <v>269517.48333361879</v>
      </c>
    </row>
    <row r="67" spans="1:8">
      <c r="A67">
        <v>60</v>
      </c>
      <c r="B67" s="3">
        <v>310000</v>
      </c>
      <c r="C67" s="3">
        <f t="shared" si="0"/>
        <v>14687.19863373469</v>
      </c>
      <c r="D67" s="3">
        <f t="shared" si="1"/>
        <v>2039.8</v>
      </c>
      <c r="E67" s="4">
        <f t="shared" si="2"/>
        <v>3100</v>
      </c>
      <c r="F67" s="3">
        <f t="shared" si="3"/>
        <v>1550</v>
      </c>
      <c r="G67" s="4">
        <f t="shared" si="4"/>
        <v>303310.2</v>
      </c>
      <c r="H67" s="4">
        <f t="shared" si="5"/>
        <v>273935.80273253063</v>
      </c>
    </row>
    <row r="68" spans="1:8">
      <c r="A68">
        <v>61</v>
      </c>
      <c r="B68" s="3">
        <v>315000</v>
      </c>
      <c r="C68" s="3">
        <f t="shared" si="0"/>
        <v>14924.088934278798</v>
      </c>
      <c r="D68" s="3">
        <f t="shared" si="1"/>
        <v>2072.6999999999998</v>
      </c>
      <c r="E68" s="4">
        <f t="shared" si="2"/>
        <v>3150</v>
      </c>
      <c r="F68" s="3">
        <f t="shared" si="3"/>
        <v>1575</v>
      </c>
      <c r="G68" s="4">
        <f t="shared" si="4"/>
        <v>308202.3</v>
      </c>
      <c r="H68" s="4">
        <f t="shared" si="5"/>
        <v>278354.12213144242</v>
      </c>
    </row>
    <row r="69" spans="1:8">
      <c r="A69">
        <v>62</v>
      </c>
      <c r="B69" s="3">
        <v>320000</v>
      </c>
      <c r="C69" s="3">
        <f t="shared" si="0"/>
        <v>15160.979234822906</v>
      </c>
      <c r="D69" s="3">
        <f t="shared" si="1"/>
        <v>2105.6</v>
      </c>
      <c r="E69" s="4">
        <f t="shared" si="2"/>
        <v>3200</v>
      </c>
      <c r="F69" s="3">
        <f t="shared" si="3"/>
        <v>1600</v>
      </c>
      <c r="G69" s="4">
        <f t="shared" si="4"/>
        <v>313094.40000000002</v>
      </c>
      <c r="H69" s="4">
        <f t="shared" si="5"/>
        <v>282772.4415303542</v>
      </c>
    </row>
    <row r="70" spans="1:8">
      <c r="A70">
        <v>63</v>
      </c>
      <c r="B70" s="3">
        <v>325000</v>
      </c>
      <c r="C70" s="3">
        <f t="shared" si="0"/>
        <v>15397.869535367014</v>
      </c>
      <c r="D70" s="3">
        <f t="shared" si="1"/>
        <v>2138.5</v>
      </c>
      <c r="E70" s="4">
        <f t="shared" si="2"/>
        <v>3250</v>
      </c>
      <c r="F70" s="3">
        <f t="shared" si="3"/>
        <v>1625</v>
      </c>
      <c r="G70" s="4">
        <f t="shared" si="4"/>
        <v>317986.5</v>
      </c>
      <c r="H70" s="4">
        <f t="shared" si="5"/>
        <v>287190.76092926599</v>
      </c>
    </row>
    <row r="71" spans="1:8">
      <c r="A71">
        <v>64</v>
      </c>
      <c r="B71" s="3">
        <v>330000</v>
      </c>
      <c r="C71" s="3">
        <f t="shared" si="0"/>
        <v>15634.75983591112</v>
      </c>
      <c r="D71" s="3">
        <f t="shared" si="1"/>
        <v>2171.4</v>
      </c>
      <c r="E71" s="4">
        <f t="shared" si="2"/>
        <v>3300</v>
      </c>
      <c r="F71" s="3">
        <f t="shared" si="3"/>
        <v>1650</v>
      </c>
      <c r="G71" s="4">
        <f t="shared" si="4"/>
        <v>322878.59999999998</v>
      </c>
      <c r="H71" s="4">
        <f t="shared" si="5"/>
        <v>291609.08032817772</v>
      </c>
    </row>
    <row r="72" spans="1:8">
      <c r="A72">
        <v>65</v>
      </c>
      <c r="B72" s="3">
        <v>335000</v>
      </c>
      <c r="C72" s="3">
        <f t="shared" si="0"/>
        <v>15871.650136455228</v>
      </c>
      <c r="D72" s="3">
        <f t="shared" si="1"/>
        <v>2204.3000000000002</v>
      </c>
      <c r="E72" s="4">
        <f t="shared" si="2"/>
        <v>3350</v>
      </c>
      <c r="F72" s="3">
        <f t="shared" si="3"/>
        <v>1675</v>
      </c>
      <c r="G72" s="4">
        <f t="shared" si="4"/>
        <v>327770.7</v>
      </c>
      <c r="H72" s="4">
        <f t="shared" si="5"/>
        <v>296027.39972708956</v>
      </c>
    </row>
    <row r="73" spans="1:8">
      <c r="A73">
        <v>66</v>
      </c>
      <c r="B73" s="3">
        <v>340000</v>
      </c>
      <c r="C73" s="3">
        <f t="shared" ref="C73:C85" si="6">-PMT(12.651%/12,24,B73)</f>
        <v>16108.540436999336</v>
      </c>
      <c r="D73" s="3">
        <f t="shared" ref="D73:D85" si="7">(B73/1000)*6.58</f>
        <v>2237.1999999999998</v>
      </c>
      <c r="E73" s="4">
        <f t="shared" ref="E73:E85" si="8">0.01*B73</f>
        <v>3400</v>
      </c>
      <c r="F73" s="3">
        <f t="shared" ref="F73:F85" si="9">IF(B73&lt;250000,0,B73/200)</f>
        <v>1700</v>
      </c>
      <c r="G73" s="4">
        <f t="shared" ref="G73:G85" si="10">B73-D73-E73-F73</f>
        <v>332662.8</v>
      </c>
      <c r="H73" s="4">
        <f t="shared" ref="H73:H85" si="11">B73-D73-E73-F73-(2*C73)</f>
        <v>300445.71912600129</v>
      </c>
    </row>
    <row r="74" spans="1:8">
      <c r="A74">
        <v>67</v>
      </c>
      <c r="B74" s="3">
        <v>345000</v>
      </c>
      <c r="C74" s="3">
        <f t="shared" si="6"/>
        <v>16345.430737543444</v>
      </c>
      <c r="D74" s="3">
        <f t="shared" si="7"/>
        <v>2270.1</v>
      </c>
      <c r="E74" s="4">
        <f t="shared" si="8"/>
        <v>3450</v>
      </c>
      <c r="F74" s="3">
        <f t="shared" si="9"/>
        <v>1725</v>
      </c>
      <c r="G74" s="4">
        <f t="shared" si="10"/>
        <v>337554.9</v>
      </c>
      <c r="H74" s="4">
        <f t="shared" si="11"/>
        <v>304864.03852491314</v>
      </c>
    </row>
    <row r="75" spans="1:8">
      <c r="A75">
        <v>68</v>
      </c>
      <c r="B75" s="3">
        <v>350000</v>
      </c>
      <c r="C75" s="3">
        <f t="shared" si="6"/>
        <v>16582.321038087553</v>
      </c>
      <c r="D75" s="3">
        <f t="shared" si="7"/>
        <v>2303</v>
      </c>
      <c r="E75" s="4">
        <f t="shared" si="8"/>
        <v>3500</v>
      </c>
      <c r="F75" s="3">
        <f t="shared" si="9"/>
        <v>1750</v>
      </c>
      <c r="G75" s="4">
        <f t="shared" si="10"/>
        <v>342447</v>
      </c>
      <c r="H75" s="4">
        <f t="shared" si="11"/>
        <v>309282.35792382492</v>
      </c>
    </row>
    <row r="76" spans="1:8">
      <c r="A76">
        <v>69</v>
      </c>
      <c r="B76" s="3">
        <v>355000</v>
      </c>
      <c r="C76" s="3">
        <f t="shared" si="6"/>
        <v>16819.21133863166</v>
      </c>
      <c r="D76" s="3">
        <f t="shared" si="7"/>
        <v>2335.9</v>
      </c>
      <c r="E76" s="4">
        <f t="shared" si="8"/>
        <v>3550</v>
      </c>
      <c r="F76" s="3">
        <f t="shared" si="9"/>
        <v>1775</v>
      </c>
      <c r="G76" s="4">
        <f t="shared" si="10"/>
        <v>347339.1</v>
      </c>
      <c r="H76" s="4">
        <f t="shared" si="11"/>
        <v>313700.67732273665</v>
      </c>
    </row>
    <row r="77" spans="1:8">
      <c r="A77">
        <v>70</v>
      </c>
      <c r="B77" s="3">
        <v>360000</v>
      </c>
      <c r="C77" s="3">
        <f t="shared" si="6"/>
        <v>17056.101639175769</v>
      </c>
      <c r="D77" s="3">
        <f t="shared" si="7"/>
        <v>2368.8000000000002</v>
      </c>
      <c r="E77" s="4">
        <f t="shared" si="8"/>
        <v>3600</v>
      </c>
      <c r="F77" s="3">
        <f t="shared" si="9"/>
        <v>1800</v>
      </c>
      <c r="G77" s="4">
        <f t="shared" si="10"/>
        <v>352231.2</v>
      </c>
      <c r="H77" s="4">
        <f t="shared" si="11"/>
        <v>318118.99672164849</v>
      </c>
    </row>
    <row r="78" spans="1:8">
      <c r="A78">
        <v>71</v>
      </c>
      <c r="B78" s="3">
        <v>365000</v>
      </c>
      <c r="C78" s="3">
        <f t="shared" si="6"/>
        <v>17292.991939719876</v>
      </c>
      <c r="D78" s="3">
        <f t="shared" si="7"/>
        <v>2401.6999999999998</v>
      </c>
      <c r="E78" s="4">
        <f t="shared" si="8"/>
        <v>3650</v>
      </c>
      <c r="F78" s="3">
        <f t="shared" si="9"/>
        <v>1825</v>
      </c>
      <c r="G78" s="4">
        <f t="shared" si="10"/>
        <v>357123.3</v>
      </c>
      <c r="H78" s="4">
        <f t="shared" si="11"/>
        <v>322537.31612056022</v>
      </c>
    </row>
    <row r="79" spans="1:8">
      <c r="A79">
        <v>72</v>
      </c>
      <c r="B79" s="3">
        <v>370000</v>
      </c>
      <c r="C79" s="3">
        <f t="shared" si="6"/>
        <v>17529.882240263985</v>
      </c>
      <c r="D79" s="3">
        <f t="shared" si="7"/>
        <v>2434.6</v>
      </c>
      <c r="E79" s="4">
        <f t="shared" si="8"/>
        <v>3700</v>
      </c>
      <c r="F79" s="3">
        <f t="shared" si="9"/>
        <v>1850</v>
      </c>
      <c r="G79" s="4">
        <f t="shared" si="10"/>
        <v>362015.4</v>
      </c>
      <c r="H79" s="4">
        <f t="shared" si="11"/>
        <v>326955.63551947207</v>
      </c>
    </row>
    <row r="80" spans="1:8">
      <c r="A80">
        <v>73</v>
      </c>
      <c r="B80" s="3">
        <v>375000</v>
      </c>
      <c r="C80" s="3">
        <f t="shared" si="6"/>
        <v>17766.772540808091</v>
      </c>
      <c r="D80" s="3">
        <f t="shared" si="7"/>
        <v>2467.5</v>
      </c>
      <c r="E80" s="4">
        <f t="shared" si="8"/>
        <v>3750</v>
      </c>
      <c r="F80" s="3">
        <f t="shared" si="9"/>
        <v>1875</v>
      </c>
      <c r="G80" s="4">
        <f t="shared" si="10"/>
        <v>366907.5</v>
      </c>
      <c r="H80" s="4">
        <f t="shared" si="11"/>
        <v>331373.9549183838</v>
      </c>
    </row>
    <row r="81" spans="1:8">
      <c r="A81">
        <v>74</v>
      </c>
      <c r="B81" s="3">
        <v>380000</v>
      </c>
      <c r="C81" s="3">
        <f t="shared" si="6"/>
        <v>18003.662841352201</v>
      </c>
      <c r="D81" s="3">
        <f t="shared" si="7"/>
        <v>2500.4</v>
      </c>
      <c r="E81" s="4">
        <f t="shared" si="8"/>
        <v>3800</v>
      </c>
      <c r="F81" s="3">
        <f t="shared" si="9"/>
        <v>1900</v>
      </c>
      <c r="G81" s="4">
        <f t="shared" si="10"/>
        <v>371799.6</v>
      </c>
      <c r="H81" s="4">
        <f t="shared" si="11"/>
        <v>335792.27431729558</v>
      </c>
    </row>
    <row r="82" spans="1:8">
      <c r="A82">
        <v>75</v>
      </c>
      <c r="B82" s="3">
        <v>385000</v>
      </c>
      <c r="C82" s="3">
        <f t="shared" si="6"/>
        <v>18240.553141896307</v>
      </c>
      <c r="D82" s="3">
        <f t="shared" si="7"/>
        <v>2533.3000000000002</v>
      </c>
      <c r="E82" s="4">
        <f t="shared" si="8"/>
        <v>3850</v>
      </c>
      <c r="F82" s="3">
        <f t="shared" si="9"/>
        <v>1925</v>
      </c>
      <c r="G82" s="4">
        <f t="shared" si="10"/>
        <v>376691.7</v>
      </c>
      <c r="H82" s="4">
        <f t="shared" si="11"/>
        <v>340210.59371620743</v>
      </c>
    </row>
    <row r="83" spans="1:8">
      <c r="A83">
        <v>76</v>
      </c>
      <c r="B83" s="3">
        <v>390000</v>
      </c>
      <c r="C83" s="3">
        <f t="shared" si="6"/>
        <v>18477.443442440413</v>
      </c>
      <c r="D83" s="3">
        <f t="shared" si="7"/>
        <v>2566.1999999999998</v>
      </c>
      <c r="E83" s="4">
        <f t="shared" si="8"/>
        <v>3900</v>
      </c>
      <c r="F83" s="3">
        <f t="shared" si="9"/>
        <v>1950</v>
      </c>
      <c r="G83" s="4">
        <f t="shared" si="10"/>
        <v>381583.8</v>
      </c>
      <c r="H83" s="4">
        <f t="shared" si="11"/>
        <v>344628.91311511915</v>
      </c>
    </row>
    <row r="84" spans="1:8">
      <c r="A84">
        <v>77</v>
      </c>
      <c r="B84" s="3">
        <v>395000</v>
      </c>
      <c r="C84" s="3">
        <f t="shared" si="6"/>
        <v>18714.333742984523</v>
      </c>
      <c r="D84" s="3">
        <f t="shared" si="7"/>
        <v>2599.1</v>
      </c>
      <c r="E84" s="4">
        <f t="shared" si="8"/>
        <v>3950</v>
      </c>
      <c r="F84" s="3">
        <f t="shared" si="9"/>
        <v>1975</v>
      </c>
      <c r="G84" s="4">
        <f t="shared" si="10"/>
        <v>386475.9</v>
      </c>
      <c r="H84" s="4">
        <f t="shared" si="11"/>
        <v>349047.232514031</v>
      </c>
    </row>
    <row r="85" spans="1:8">
      <c r="A85">
        <v>78</v>
      </c>
      <c r="B85" s="3">
        <v>400000</v>
      </c>
      <c r="C85" s="3">
        <f t="shared" si="6"/>
        <v>18951.224043528629</v>
      </c>
      <c r="D85" s="3">
        <f t="shared" si="7"/>
        <v>2632</v>
      </c>
      <c r="E85" s="4">
        <f t="shared" si="8"/>
        <v>4000</v>
      </c>
      <c r="F85" s="3">
        <f t="shared" si="9"/>
        <v>2000</v>
      </c>
      <c r="G85" s="4">
        <f t="shared" si="10"/>
        <v>391368</v>
      </c>
      <c r="H85" s="4">
        <f t="shared" si="11"/>
        <v>353465.55191294273</v>
      </c>
    </row>
  </sheetData>
  <mergeCells count="9">
    <mergeCell ref="B2:H2"/>
    <mergeCell ref="B3:H3"/>
    <mergeCell ref="B4:H4"/>
    <mergeCell ref="B5:B6"/>
    <mergeCell ref="C5:C6"/>
    <mergeCell ref="D5:D6"/>
    <mergeCell ref="E5:E6"/>
    <mergeCell ref="F5:F6"/>
    <mergeCell ref="G5:H5"/>
  </mergeCells>
  <phoneticPr fontId="0" type="noConversion"/>
  <printOptions horizontalCentered="1"/>
  <pageMargins left="0.25" right="0.25" top="0.2" bottom="0.75" header="0.05" footer="0.05"/>
  <pageSetup paperSize="5" scale="7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/>
  <dimension ref="A2:K85"/>
  <sheetViews>
    <sheetView view="pageBreakPreview" zoomScaleSheetLayoutView="100" workbookViewId="0">
      <selection activeCell="B24" sqref="B24"/>
    </sheetView>
  </sheetViews>
  <sheetFormatPr defaultRowHeight="14.5"/>
  <cols>
    <col min="1" max="1" width="5.1796875" customWidth="1"/>
    <col min="2" max="2" width="13" bestFit="1" customWidth="1"/>
    <col min="3" max="3" width="14.81640625" bestFit="1" customWidth="1"/>
    <col min="4" max="4" width="13.453125" bestFit="1" customWidth="1"/>
    <col min="5" max="5" width="11.26953125" bestFit="1" customWidth="1"/>
    <col min="6" max="6" width="11.1796875" customWidth="1"/>
    <col min="7" max="7" width="13" bestFit="1" customWidth="1"/>
    <col min="8" max="8" width="19.26953125" bestFit="1" customWidth="1"/>
    <col min="10" max="10" width="11.81640625" customWidth="1"/>
    <col min="11" max="11" width="9.26953125" bestFit="1" customWidth="1"/>
  </cols>
  <sheetData>
    <row r="2" spans="1:11" ht="26.5" thickBot="1">
      <c r="A2" s="5">
        <v>1</v>
      </c>
      <c r="B2" s="729" t="s">
        <v>6</v>
      </c>
      <c r="C2" s="729"/>
      <c r="D2" s="729"/>
      <c r="E2" s="729"/>
      <c r="F2" s="729"/>
      <c r="G2" s="729"/>
      <c r="H2" s="729"/>
      <c r="J2" t="s">
        <v>13</v>
      </c>
    </row>
    <row r="3" spans="1:11">
      <c r="B3" s="730" t="s">
        <v>7</v>
      </c>
      <c r="C3" s="730"/>
      <c r="D3" s="730"/>
      <c r="E3" s="730"/>
      <c r="F3" s="730"/>
      <c r="G3" s="730"/>
      <c r="H3" s="730"/>
      <c r="J3" t="s">
        <v>11</v>
      </c>
      <c r="K3">
        <v>5.35</v>
      </c>
    </row>
    <row r="4" spans="1:11">
      <c r="B4" s="731" t="s">
        <v>14</v>
      </c>
      <c r="C4" s="731"/>
      <c r="D4" s="731"/>
      <c r="E4" s="731"/>
      <c r="F4" s="731"/>
      <c r="G4" s="731"/>
      <c r="H4" s="731"/>
      <c r="J4" t="s">
        <v>10</v>
      </c>
      <c r="K4">
        <v>6.58</v>
      </c>
    </row>
    <row r="5" spans="1:11">
      <c r="B5" s="728" t="s">
        <v>0</v>
      </c>
      <c r="C5" s="728" t="s">
        <v>1</v>
      </c>
      <c r="D5" s="728" t="s">
        <v>2</v>
      </c>
      <c r="E5" s="728" t="s">
        <v>3</v>
      </c>
      <c r="F5" s="728" t="s">
        <v>8</v>
      </c>
      <c r="G5" s="725" t="s">
        <v>9</v>
      </c>
      <c r="H5" s="725"/>
      <c r="J5" t="s">
        <v>12</v>
      </c>
      <c r="K5">
        <v>9.0399999999999991</v>
      </c>
    </row>
    <row r="6" spans="1:11">
      <c r="B6" s="728"/>
      <c r="C6" s="728"/>
      <c r="D6" s="728"/>
      <c r="E6" s="728"/>
      <c r="F6" s="728"/>
      <c r="G6" s="1" t="s">
        <v>4</v>
      </c>
      <c r="H6" s="1" t="s">
        <v>5</v>
      </c>
    </row>
    <row r="7" spans="1:11">
      <c r="B7" s="2"/>
      <c r="C7" s="2"/>
      <c r="D7" s="2"/>
      <c r="E7" s="2"/>
      <c r="F7" s="2"/>
      <c r="G7" s="2"/>
      <c r="H7" s="2"/>
    </row>
    <row r="8" spans="1:11">
      <c r="A8">
        <v>1</v>
      </c>
      <c r="B8" s="3">
        <v>15000</v>
      </c>
      <c r="C8" s="3">
        <f>-PMT(12.651%/12,12,B8)</f>
        <v>1337.3042958270619</v>
      </c>
      <c r="D8" s="3">
        <f>(B8/1000)*5.35</f>
        <v>80.25</v>
      </c>
      <c r="E8" s="4">
        <f>0.01*B8</f>
        <v>150</v>
      </c>
      <c r="F8" s="3">
        <f>IF(B8&lt;250000,0,B8/200)</f>
        <v>0</v>
      </c>
      <c r="G8" s="4">
        <f>B8-D8-E8-F8</f>
        <v>14769.75</v>
      </c>
      <c r="H8" s="4">
        <f>B8-D8-E8-F8-(2*C8)</f>
        <v>12095.141408345877</v>
      </c>
    </row>
    <row r="9" spans="1:11">
      <c r="A9">
        <v>2</v>
      </c>
      <c r="B9" s="3">
        <v>20000</v>
      </c>
      <c r="C9" s="3">
        <f t="shared" ref="C9:C72" si="0">-PMT(12.651%/12,12,B9)</f>
        <v>1783.0723944360825</v>
      </c>
      <c r="D9" s="3">
        <f>(B9/1000)*5.35</f>
        <v>107</v>
      </c>
      <c r="E9" s="4">
        <f t="shared" ref="E9:E72" si="1">0.01*B9</f>
        <v>200</v>
      </c>
      <c r="F9" s="3">
        <f t="shared" ref="F9:F72" si="2">IF(B9&lt;250000,0,B9/200)</f>
        <v>0</v>
      </c>
      <c r="G9" s="4">
        <f t="shared" ref="G9:G72" si="3">B9-D9-E9-F9</f>
        <v>19693</v>
      </c>
      <c r="H9" s="4">
        <f t="shared" ref="H9:H72" si="4">B9-D9-E9-F9-(2*C9)</f>
        <v>16126.855211127835</v>
      </c>
    </row>
    <row r="10" spans="1:11">
      <c r="A10">
        <v>3</v>
      </c>
      <c r="B10" s="3">
        <v>25000</v>
      </c>
      <c r="C10" s="3">
        <f t="shared" si="0"/>
        <v>2228.8404930451029</v>
      </c>
      <c r="D10" s="3">
        <f t="shared" ref="D10:D73" si="5">(B10/1000)*5.35</f>
        <v>133.75</v>
      </c>
      <c r="E10" s="4">
        <f t="shared" si="1"/>
        <v>250</v>
      </c>
      <c r="F10" s="3">
        <f t="shared" si="2"/>
        <v>0</v>
      </c>
      <c r="G10" s="4">
        <f t="shared" si="3"/>
        <v>24616.25</v>
      </c>
      <c r="H10" s="4">
        <f t="shared" si="4"/>
        <v>20158.569013909793</v>
      </c>
    </row>
    <row r="11" spans="1:11">
      <c r="A11">
        <v>4</v>
      </c>
      <c r="B11" s="3">
        <v>30000</v>
      </c>
      <c r="C11" s="3">
        <f t="shared" si="0"/>
        <v>2674.6085916541238</v>
      </c>
      <c r="D11" s="3">
        <f t="shared" si="5"/>
        <v>160.5</v>
      </c>
      <c r="E11" s="4">
        <f t="shared" si="1"/>
        <v>300</v>
      </c>
      <c r="F11" s="3">
        <f t="shared" si="2"/>
        <v>0</v>
      </c>
      <c r="G11" s="4">
        <f t="shared" si="3"/>
        <v>29539.5</v>
      </c>
      <c r="H11" s="4">
        <f t="shared" si="4"/>
        <v>24190.282816691753</v>
      </c>
    </row>
    <row r="12" spans="1:11">
      <c r="A12">
        <v>5</v>
      </c>
      <c r="B12" s="3">
        <v>35000</v>
      </c>
      <c r="C12" s="3">
        <f t="shared" si="0"/>
        <v>3120.3766902631442</v>
      </c>
      <c r="D12" s="3">
        <f t="shared" si="5"/>
        <v>187.25</v>
      </c>
      <c r="E12" s="4">
        <f t="shared" si="1"/>
        <v>350</v>
      </c>
      <c r="F12" s="3">
        <f t="shared" si="2"/>
        <v>0</v>
      </c>
      <c r="G12" s="4">
        <f t="shared" si="3"/>
        <v>34462.75</v>
      </c>
      <c r="H12" s="4">
        <f t="shared" si="4"/>
        <v>28221.996619473714</v>
      </c>
    </row>
    <row r="13" spans="1:11">
      <c r="A13">
        <v>6</v>
      </c>
      <c r="B13" s="3">
        <v>40000</v>
      </c>
      <c r="C13" s="3">
        <f t="shared" si="0"/>
        <v>3566.144788872165</v>
      </c>
      <c r="D13" s="3">
        <f t="shared" si="5"/>
        <v>214</v>
      </c>
      <c r="E13" s="4">
        <f t="shared" si="1"/>
        <v>400</v>
      </c>
      <c r="F13" s="3">
        <f t="shared" si="2"/>
        <v>0</v>
      </c>
      <c r="G13" s="4">
        <f t="shared" si="3"/>
        <v>39386</v>
      </c>
      <c r="H13" s="4">
        <f t="shared" si="4"/>
        <v>32253.71042225567</v>
      </c>
    </row>
    <row r="14" spans="1:11">
      <c r="A14">
        <v>7</v>
      </c>
      <c r="B14" s="3">
        <v>45000</v>
      </c>
      <c r="C14" s="3">
        <f t="shared" si="0"/>
        <v>4011.9128874811854</v>
      </c>
      <c r="D14" s="3">
        <f t="shared" si="5"/>
        <v>240.74999999999997</v>
      </c>
      <c r="E14" s="4">
        <f t="shared" si="1"/>
        <v>450</v>
      </c>
      <c r="F14" s="3">
        <f t="shared" si="2"/>
        <v>0</v>
      </c>
      <c r="G14" s="4">
        <f t="shared" si="3"/>
        <v>44309.25</v>
      </c>
      <c r="H14" s="4">
        <f t="shared" si="4"/>
        <v>36285.424225037626</v>
      </c>
    </row>
    <row r="15" spans="1:11">
      <c r="A15">
        <v>8</v>
      </c>
      <c r="B15" s="3">
        <v>50000</v>
      </c>
      <c r="C15" s="3">
        <f t="shared" si="0"/>
        <v>4457.6809860902058</v>
      </c>
      <c r="D15" s="3">
        <f t="shared" si="5"/>
        <v>267.5</v>
      </c>
      <c r="E15" s="4">
        <f t="shared" si="1"/>
        <v>500</v>
      </c>
      <c r="F15" s="3">
        <f t="shared" si="2"/>
        <v>0</v>
      </c>
      <c r="G15" s="4">
        <f t="shared" si="3"/>
        <v>49232.5</v>
      </c>
      <c r="H15" s="4">
        <f t="shared" si="4"/>
        <v>40317.138027819587</v>
      </c>
    </row>
    <row r="16" spans="1:11">
      <c r="A16">
        <v>9</v>
      </c>
      <c r="B16" s="3">
        <v>55000</v>
      </c>
      <c r="C16" s="3">
        <f t="shared" si="0"/>
        <v>4903.4490846992267</v>
      </c>
      <c r="D16" s="3">
        <f t="shared" si="5"/>
        <v>294.25</v>
      </c>
      <c r="E16" s="4">
        <f t="shared" si="1"/>
        <v>550</v>
      </c>
      <c r="F16" s="3">
        <f t="shared" si="2"/>
        <v>0</v>
      </c>
      <c r="G16" s="4">
        <f t="shared" si="3"/>
        <v>54155.75</v>
      </c>
      <c r="H16" s="4">
        <f t="shared" si="4"/>
        <v>44348.851830601547</v>
      </c>
    </row>
    <row r="17" spans="1:8">
      <c r="A17">
        <v>10</v>
      </c>
      <c r="B17" s="3">
        <v>60000</v>
      </c>
      <c r="C17" s="3">
        <f t="shared" si="0"/>
        <v>5349.2171833082475</v>
      </c>
      <c r="D17" s="3">
        <f t="shared" si="5"/>
        <v>321</v>
      </c>
      <c r="E17" s="4">
        <f t="shared" si="1"/>
        <v>600</v>
      </c>
      <c r="F17" s="3">
        <f t="shared" si="2"/>
        <v>0</v>
      </c>
      <c r="G17" s="4">
        <f t="shared" si="3"/>
        <v>59079</v>
      </c>
      <c r="H17" s="4">
        <f t="shared" si="4"/>
        <v>48380.565633383507</v>
      </c>
    </row>
    <row r="18" spans="1:8">
      <c r="A18">
        <v>11</v>
      </c>
      <c r="B18" s="3">
        <v>65000</v>
      </c>
      <c r="C18" s="3">
        <f t="shared" si="0"/>
        <v>5794.9852819172684</v>
      </c>
      <c r="D18" s="3">
        <f t="shared" si="5"/>
        <v>347.75</v>
      </c>
      <c r="E18" s="4">
        <f t="shared" si="1"/>
        <v>650</v>
      </c>
      <c r="F18" s="3">
        <f t="shared" si="2"/>
        <v>0</v>
      </c>
      <c r="G18" s="4">
        <f t="shared" si="3"/>
        <v>64002.25</v>
      </c>
      <c r="H18" s="4">
        <f t="shared" si="4"/>
        <v>52412.279436165467</v>
      </c>
    </row>
    <row r="19" spans="1:8">
      <c r="A19">
        <v>12</v>
      </c>
      <c r="B19" s="3">
        <v>70000</v>
      </c>
      <c r="C19" s="3">
        <f t="shared" si="0"/>
        <v>6240.7533805262883</v>
      </c>
      <c r="D19" s="3">
        <f t="shared" si="5"/>
        <v>374.5</v>
      </c>
      <c r="E19" s="4">
        <f t="shared" si="1"/>
        <v>700</v>
      </c>
      <c r="F19" s="3">
        <f t="shared" si="2"/>
        <v>0</v>
      </c>
      <c r="G19" s="4">
        <f t="shared" si="3"/>
        <v>68925.5</v>
      </c>
      <c r="H19" s="4">
        <f t="shared" si="4"/>
        <v>56443.993238947427</v>
      </c>
    </row>
    <row r="20" spans="1:8">
      <c r="A20">
        <v>13</v>
      </c>
      <c r="B20" s="3">
        <v>75000</v>
      </c>
      <c r="C20" s="3">
        <f t="shared" si="0"/>
        <v>6686.5214791353092</v>
      </c>
      <c r="D20" s="3">
        <f t="shared" si="5"/>
        <v>401.25</v>
      </c>
      <c r="E20" s="4">
        <f t="shared" si="1"/>
        <v>750</v>
      </c>
      <c r="F20" s="3">
        <f t="shared" si="2"/>
        <v>0</v>
      </c>
      <c r="G20" s="4">
        <f t="shared" si="3"/>
        <v>73848.75</v>
      </c>
      <c r="H20" s="4">
        <f t="shared" si="4"/>
        <v>60475.70704172938</v>
      </c>
    </row>
    <row r="21" spans="1:8">
      <c r="A21">
        <v>14</v>
      </c>
      <c r="B21" s="3">
        <v>80000</v>
      </c>
      <c r="C21" s="3">
        <f t="shared" si="0"/>
        <v>7132.28957774433</v>
      </c>
      <c r="D21" s="3">
        <f t="shared" si="5"/>
        <v>428</v>
      </c>
      <c r="E21" s="4">
        <f t="shared" si="1"/>
        <v>800</v>
      </c>
      <c r="F21" s="3">
        <f t="shared" si="2"/>
        <v>0</v>
      </c>
      <c r="G21" s="4">
        <f t="shared" si="3"/>
        <v>78772</v>
      </c>
      <c r="H21" s="4">
        <f t="shared" si="4"/>
        <v>64507.42084451134</v>
      </c>
    </row>
    <row r="22" spans="1:8">
      <c r="A22">
        <v>15</v>
      </c>
      <c r="B22" s="3">
        <v>85000</v>
      </c>
      <c r="C22" s="3">
        <f t="shared" si="0"/>
        <v>7578.05767635335</v>
      </c>
      <c r="D22" s="3">
        <f t="shared" si="5"/>
        <v>454.74999999999994</v>
      </c>
      <c r="E22" s="4">
        <f t="shared" si="1"/>
        <v>850</v>
      </c>
      <c r="F22" s="3">
        <f t="shared" si="2"/>
        <v>0</v>
      </c>
      <c r="G22" s="4">
        <f t="shared" si="3"/>
        <v>83695.25</v>
      </c>
      <c r="H22" s="4">
        <f t="shared" si="4"/>
        <v>68539.134647293307</v>
      </c>
    </row>
    <row r="23" spans="1:8">
      <c r="A23">
        <v>16</v>
      </c>
      <c r="B23" s="3">
        <v>90000</v>
      </c>
      <c r="C23" s="3">
        <f t="shared" si="0"/>
        <v>8023.8257749623708</v>
      </c>
      <c r="D23" s="3">
        <f t="shared" si="5"/>
        <v>481.49999999999994</v>
      </c>
      <c r="E23" s="4">
        <f t="shared" si="1"/>
        <v>900</v>
      </c>
      <c r="F23" s="3">
        <f t="shared" si="2"/>
        <v>0</v>
      </c>
      <c r="G23" s="4">
        <f t="shared" si="3"/>
        <v>88618.5</v>
      </c>
      <c r="H23" s="4">
        <f t="shared" si="4"/>
        <v>72570.848450075253</v>
      </c>
    </row>
    <row r="24" spans="1:8">
      <c r="A24">
        <v>17</v>
      </c>
      <c r="B24" s="3">
        <v>95000</v>
      </c>
      <c r="C24" s="3">
        <f t="shared" si="0"/>
        <v>8469.5938735713917</v>
      </c>
      <c r="D24" s="3">
        <f t="shared" si="5"/>
        <v>508.24999999999994</v>
      </c>
      <c r="E24" s="4">
        <f t="shared" si="1"/>
        <v>950</v>
      </c>
      <c r="F24" s="3">
        <f t="shared" si="2"/>
        <v>0</v>
      </c>
      <c r="G24" s="4">
        <f t="shared" si="3"/>
        <v>93541.75</v>
      </c>
      <c r="H24" s="4">
        <f t="shared" si="4"/>
        <v>76602.562252857213</v>
      </c>
    </row>
    <row r="25" spans="1:8">
      <c r="A25">
        <v>18</v>
      </c>
      <c r="B25" s="3">
        <v>100000</v>
      </c>
      <c r="C25" s="3">
        <f t="shared" si="0"/>
        <v>8915.3619721804116</v>
      </c>
      <c r="D25" s="3">
        <f t="shared" si="5"/>
        <v>535</v>
      </c>
      <c r="E25" s="4">
        <f t="shared" si="1"/>
        <v>1000</v>
      </c>
      <c r="F25" s="3">
        <f t="shared" si="2"/>
        <v>0</v>
      </c>
      <c r="G25" s="4">
        <f t="shared" si="3"/>
        <v>98465</v>
      </c>
      <c r="H25" s="4">
        <f t="shared" si="4"/>
        <v>80634.276055639173</v>
      </c>
    </row>
    <row r="26" spans="1:8">
      <c r="A26">
        <v>19</v>
      </c>
      <c r="B26" s="3">
        <v>105000</v>
      </c>
      <c r="C26" s="3">
        <f t="shared" si="0"/>
        <v>9361.1300707894334</v>
      </c>
      <c r="D26" s="3">
        <f t="shared" si="5"/>
        <v>561.75</v>
      </c>
      <c r="E26" s="4">
        <f t="shared" si="1"/>
        <v>1050</v>
      </c>
      <c r="F26" s="3">
        <f t="shared" si="2"/>
        <v>0</v>
      </c>
      <c r="G26" s="4">
        <f t="shared" si="3"/>
        <v>103388.25</v>
      </c>
      <c r="H26" s="4">
        <f t="shared" si="4"/>
        <v>84665.989858421133</v>
      </c>
    </row>
    <row r="27" spans="1:8">
      <c r="A27">
        <v>20</v>
      </c>
      <c r="B27" s="3">
        <v>110000</v>
      </c>
      <c r="C27" s="3">
        <f t="shared" si="0"/>
        <v>9806.8981693984533</v>
      </c>
      <c r="D27" s="3">
        <f t="shared" si="5"/>
        <v>588.5</v>
      </c>
      <c r="E27" s="4">
        <f t="shared" si="1"/>
        <v>1100</v>
      </c>
      <c r="F27" s="3">
        <f t="shared" si="2"/>
        <v>0</v>
      </c>
      <c r="G27" s="4">
        <f t="shared" si="3"/>
        <v>108311.5</v>
      </c>
      <c r="H27" s="4">
        <f t="shared" si="4"/>
        <v>88697.703661203093</v>
      </c>
    </row>
    <row r="28" spans="1:8">
      <c r="A28">
        <v>21</v>
      </c>
      <c r="B28" s="3">
        <v>115000</v>
      </c>
      <c r="C28" s="3">
        <f t="shared" si="0"/>
        <v>10252.666268007473</v>
      </c>
      <c r="D28" s="3">
        <f t="shared" si="5"/>
        <v>615.25</v>
      </c>
      <c r="E28" s="4">
        <f t="shared" si="1"/>
        <v>1150</v>
      </c>
      <c r="F28" s="3">
        <f t="shared" si="2"/>
        <v>0</v>
      </c>
      <c r="G28" s="4">
        <f t="shared" si="3"/>
        <v>113234.75</v>
      </c>
      <c r="H28" s="4">
        <f t="shared" si="4"/>
        <v>92729.417463985053</v>
      </c>
    </row>
    <row r="29" spans="1:8">
      <c r="A29">
        <v>22</v>
      </c>
      <c r="B29" s="3">
        <v>120000</v>
      </c>
      <c r="C29" s="3">
        <f t="shared" si="0"/>
        <v>10698.434366616495</v>
      </c>
      <c r="D29" s="3">
        <f t="shared" si="5"/>
        <v>642</v>
      </c>
      <c r="E29" s="4">
        <f t="shared" si="1"/>
        <v>1200</v>
      </c>
      <c r="F29" s="3">
        <f t="shared" si="2"/>
        <v>0</v>
      </c>
      <c r="G29" s="4">
        <f t="shared" si="3"/>
        <v>118158</v>
      </c>
      <c r="H29" s="4">
        <f t="shared" si="4"/>
        <v>96761.131266767014</v>
      </c>
    </row>
    <row r="30" spans="1:8">
      <c r="A30">
        <v>23</v>
      </c>
      <c r="B30" s="3">
        <v>125000</v>
      </c>
      <c r="C30" s="3">
        <f t="shared" si="0"/>
        <v>11144.202465225515</v>
      </c>
      <c r="D30" s="3">
        <f t="shared" si="5"/>
        <v>668.75</v>
      </c>
      <c r="E30" s="4">
        <f t="shared" si="1"/>
        <v>1250</v>
      </c>
      <c r="F30" s="3">
        <f t="shared" si="2"/>
        <v>0</v>
      </c>
      <c r="G30" s="4">
        <f t="shared" si="3"/>
        <v>123081.25</v>
      </c>
      <c r="H30" s="4">
        <f t="shared" si="4"/>
        <v>100792.84506954897</v>
      </c>
    </row>
    <row r="31" spans="1:8">
      <c r="A31">
        <v>24</v>
      </c>
      <c r="B31" s="3">
        <v>130000</v>
      </c>
      <c r="C31" s="3">
        <f t="shared" si="0"/>
        <v>11589.970563834537</v>
      </c>
      <c r="D31" s="3">
        <f t="shared" si="5"/>
        <v>695.5</v>
      </c>
      <c r="E31" s="4">
        <f t="shared" si="1"/>
        <v>1300</v>
      </c>
      <c r="F31" s="3">
        <f t="shared" si="2"/>
        <v>0</v>
      </c>
      <c r="G31" s="4">
        <f t="shared" si="3"/>
        <v>128004.5</v>
      </c>
      <c r="H31" s="4">
        <f t="shared" si="4"/>
        <v>104824.55887233093</v>
      </c>
    </row>
    <row r="32" spans="1:8">
      <c r="A32">
        <v>25</v>
      </c>
      <c r="B32" s="3">
        <v>135000</v>
      </c>
      <c r="C32" s="3">
        <f t="shared" si="0"/>
        <v>12035.738662443557</v>
      </c>
      <c r="D32" s="3">
        <f t="shared" si="5"/>
        <v>722.25</v>
      </c>
      <c r="E32" s="4">
        <f t="shared" si="1"/>
        <v>1350</v>
      </c>
      <c r="F32" s="3">
        <f t="shared" si="2"/>
        <v>0</v>
      </c>
      <c r="G32" s="4">
        <f t="shared" si="3"/>
        <v>132927.75</v>
      </c>
      <c r="H32" s="4">
        <f t="shared" si="4"/>
        <v>108856.27267511288</v>
      </c>
    </row>
    <row r="33" spans="1:8">
      <c r="A33">
        <v>26</v>
      </c>
      <c r="B33" s="3">
        <v>140000</v>
      </c>
      <c r="C33" s="3">
        <f t="shared" si="0"/>
        <v>12481.506761052577</v>
      </c>
      <c r="D33" s="3">
        <f t="shared" si="5"/>
        <v>749</v>
      </c>
      <c r="E33" s="4">
        <f t="shared" si="1"/>
        <v>1400</v>
      </c>
      <c r="F33" s="3">
        <f t="shared" si="2"/>
        <v>0</v>
      </c>
      <c r="G33" s="4">
        <f t="shared" si="3"/>
        <v>137851</v>
      </c>
      <c r="H33" s="4">
        <f t="shared" si="4"/>
        <v>112887.98647789485</v>
      </c>
    </row>
    <row r="34" spans="1:8">
      <c r="A34">
        <v>27</v>
      </c>
      <c r="B34" s="3">
        <v>145000</v>
      </c>
      <c r="C34" s="3">
        <f t="shared" si="0"/>
        <v>12927.274859661598</v>
      </c>
      <c r="D34" s="3">
        <f t="shared" si="5"/>
        <v>775.75</v>
      </c>
      <c r="E34" s="4">
        <f t="shared" si="1"/>
        <v>1450</v>
      </c>
      <c r="F34" s="3">
        <f t="shared" si="2"/>
        <v>0</v>
      </c>
      <c r="G34" s="4">
        <f t="shared" si="3"/>
        <v>142774.25</v>
      </c>
      <c r="H34" s="4">
        <f t="shared" si="4"/>
        <v>116919.7002806768</v>
      </c>
    </row>
    <row r="35" spans="1:8">
      <c r="A35">
        <v>28</v>
      </c>
      <c r="B35" s="3">
        <v>150000</v>
      </c>
      <c r="C35" s="3">
        <f t="shared" si="0"/>
        <v>13373.042958270618</v>
      </c>
      <c r="D35" s="3">
        <f t="shared" si="5"/>
        <v>802.5</v>
      </c>
      <c r="E35" s="4">
        <f t="shared" si="1"/>
        <v>1500</v>
      </c>
      <c r="F35" s="3">
        <f t="shared" si="2"/>
        <v>0</v>
      </c>
      <c r="G35" s="4">
        <f t="shared" si="3"/>
        <v>147697.5</v>
      </c>
      <c r="H35" s="4">
        <f t="shared" si="4"/>
        <v>120951.41408345876</v>
      </c>
    </row>
    <row r="36" spans="1:8">
      <c r="A36">
        <v>29</v>
      </c>
      <c r="B36" s="3">
        <v>155000</v>
      </c>
      <c r="C36" s="3">
        <f t="shared" si="0"/>
        <v>13818.811056879638</v>
      </c>
      <c r="D36" s="3">
        <f t="shared" si="5"/>
        <v>829.25</v>
      </c>
      <c r="E36" s="4">
        <f t="shared" si="1"/>
        <v>1550</v>
      </c>
      <c r="F36" s="3">
        <f t="shared" si="2"/>
        <v>0</v>
      </c>
      <c r="G36" s="4">
        <f t="shared" si="3"/>
        <v>152620.75</v>
      </c>
      <c r="H36" s="4">
        <f t="shared" si="4"/>
        <v>124983.12788624072</v>
      </c>
    </row>
    <row r="37" spans="1:8">
      <c r="A37">
        <v>30</v>
      </c>
      <c r="B37" s="3">
        <v>160000</v>
      </c>
      <c r="C37" s="3">
        <f t="shared" si="0"/>
        <v>14264.57915548866</v>
      </c>
      <c r="D37" s="3">
        <f t="shared" si="5"/>
        <v>856</v>
      </c>
      <c r="E37" s="4">
        <f t="shared" si="1"/>
        <v>1600</v>
      </c>
      <c r="F37" s="3">
        <f t="shared" si="2"/>
        <v>0</v>
      </c>
      <c r="G37" s="4">
        <f t="shared" si="3"/>
        <v>157544</v>
      </c>
      <c r="H37" s="4">
        <f t="shared" si="4"/>
        <v>129014.84168902268</v>
      </c>
    </row>
    <row r="38" spans="1:8">
      <c r="A38">
        <v>31</v>
      </c>
      <c r="B38" s="3">
        <v>165000</v>
      </c>
      <c r="C38" s="3">
        <f t="shared" si="0"/>
        <v>14710.34725409768</v>
      </c>
      <c r="D38" s="3">
        <f t="shared" si="5"/>
        <v>882.74999999999989</v>
      </c>
      <c r="E38" s="4">
        <f t="shared" si="1"/>
        <v>1650</v>
      </c>
      <c r="F38" s="3">
        <f t="shared" si="2"/>
        <v>0</v>
      </c>
      <c r="G38" s="4">
        <f t="shared" si="3"/>
        <v>162467.25</v>
      </c>
      <c r="H38" s="4">
        <f t="shared" si="4"/>
        <v>133046.55549180464</v>
      </c>
    </row>
    <row r="39" spans="1:8">
      <c r="A39">
        <v>32</v>
      </c>
      <c r="B39" s="3">
        <v>170000</v>
      </c>
      <c r="C39" s="3">
        <f t="shared" si="0"/>
        <v>15156.1153527067</v>
      </c>
      <c r="D39" s="3">
        <f t="shared" si="5"/>
        <v>909.49999999999989</v>
      </c>
      <c r="E39" s="4">
        <f t="shared" si="1"/>
        <v>1700</v>
      </c>
      <c r="F39" s="3">
        <f t="shared" si="2"/>
        <v>0</v>
      </c>
      <c r="G39" s="4">
        <f t="shared" si="3"/>
        <v>167390.5</v>
      </c>
      <c r="H39" s="4">
        <f t="shared" si="4"/>
        <v>137078.26929458661</v>
      </c>
    </row>
    <row r="40" spans="1:8">
      <c r="A40">
        <v>33</v>
      </c>
      <c r="B40" s="3">
        <v>175000</v>
      </c>
      <c r="C40" s="3">
        <f t="shared" si="0"/>
        <v>15601.883451315724</v>
      </c>
      <c r="D40" s="3">
        <f t="shared" si="5"/>
        <v>936.24999999999989</v>
      </c>
      <c r="E40" s="4">
        <f t="shared" si="1"/>
        <v>1750</v>
      </c>
      <c r="F40" s="3">
        <f t="shared" si="2"/>
        <v>0</v>
      </c>
      <c r="G40" s="4">
        <f t="shared" si="3"/>
        <v>172313.75</v>
      </c>
      <c r="H40" s="4">
        <f t="shared" si="4"/>
        <v>141109.98309736856</v>
      </c>
    </row>
    <row r="41" spans="1:8">
      <c r="A41">
        <v>34</v>
      </c>
      <c r="B41" s="3">
        <v>180000</v>
      </c>
      <c r="C41" s="3">
        <f t="shared" si="0"/>
        <v>16047.651549924742</v>
      </c>
      <c r="D41" s="3">
        <f t="shared" si="5"/>
        <v>962.99999999999989</v>
      </c>
      <c r="E41" s="4">
        <f t="shared" si="1"/>
        <v>1800</v>
      </c>
      <c r="F41" s="3">
        <f t="shared" si="2"/>
        <v>0</v>
      </c>
      <c r="G41" s="4">
        <f t="shared" si="3"/>
        <v>177237</v>
      </c>
      <c r="H41" s="4">
        <f t="shared" si="4"/>
        <v>145141.69690015051</v>
      </c>
    </row>
    <row r="42" spans="1:8">
      <c r="A42">
        <v>35</v>
      </c>
      <c r="B42" s="3">
        <v>185000</v>
      </c>
      <c r="C42" s="3">
        <f t="shared" si="0"/>
        <v>16493.419648533763</v>
      </c>
      <c r="D42" s="3">
        <f t="shared" si="5"/>
        <v>989.74999999999989</v>
      </c>
      <c r="E42" s="4">
        <f t="shared" si="1"/>
        <v>1850</v>
      </c>
      <c r="F42" s="3">
        <f t="shared" si="2"/>
        <v>0</v>
      </c>
      <c r="G42" s="4">
        <f t="shared" si="3"/>
        <v>182160.25</v>
      </c>
      <c r="H42" s="4">
        <f t="shared" si="4"/>
        <v>149173.41070293248</v>
      </c>
    </row>
    <row r="43" spans="1:8">
      <c r="A43">
        <v>36</v>
      </c>
      <c r="B43" s="3">
        <v>190000</v>
      </c>
      <c r="C43" s="3">
        <f t="shared" si="0"/>
        <v>16939.187747142783</v>
      </c>
      <c r="D43" s="3">
        <f t="shared" si="5"/>
        <v>1016.4999999999999</v>
      </c>
      <c r="E43" s="4">
        <f t="shared" si="1"/>
        <v>1900</v>
      </c>
      <c r="F43" s="3">
        <f t="shared" si="2"/>
        <v>0</v>
      </c>
      <c r="G43" s="4">
        <f t="shared" si="3"/>
        <v>187083.5</v>
      </c>
      <c r="H43" s="4">
        <f t="shared" si="4"/>
        <v>153205.12450571443</v>
      </c>
    </row>
    <row r="44" spans="1:8">
      <c r="A44">
        <v>37</v>
      </c>
      <c r="B44" s="3">
        <v>195000</v>
      </c>
      <c r="C44" s="3">
        <f t="shared" si="0"/>
        <v>17384.955845751803</v>
      </c>
      <c r="D44" s="3">
        <f t="shared" si="5"/>
        <v>1043.25</v>
      </c>
      <c r="E44" s="4">
        <f t="shared" si="1"/>
        <v>1950</v>
      </c>
      <c r="F44" s="3">
        <f t="shared" si="2"/>
        <v>0</v>
      </c>
      <c r="G44" s="4">
        <f t="shared" si="3"/>
        <v>192006.75</v>
      </c>
      <c r="H44" s="4">
        <f t="shared" si="4"/>
        <v>157236.8383084964</v>
      </c>
    </row>
    <row r="45" spans="1:8">
      <c r="A45">
        <v>38</v>
      </c>
      <c r="B45" s="3">
        <v>200000</v>
      </c>
      <c r="C45" s="3">
        <f t="shared" si="0"/>
        <v>17830.723944360823</v>
      </c>
      <c r="D45" s="3">
        <f t="shared" si="5"/>
        <v>1070</v>
      </c>
      <c r="E45" s="4">
        <f t="shared" si="1"/>
        <v>2000</v>
      </c>
      <c r="F45" s="3">
        <f t="shared" si="2"/>
        <v>0</v>
      </c>
      <c r="G45" s="4">
        <f t="shared" si="3"/>
        <v>196930</v>
      </c>
      <c r="H45" s="4">
        <f t="shared" si="4"/>
        <v>161268.55211127835</v>
      </c>
    </row>
    <row r="46" spans="1:8">
      <c r="A46">
        <v>39</v>
      </c>
      <c r="B46" s="3">
        <v>205000</v>
      </c>
      <c r="C46" s="3">
        <f t="shared" si="0"/>
        <v>18276.492042969847</v>
      </c>
      <c r="D46" s="3">
        <f t="shared" si="5"/>
        <v>1096.75</v>
      </c>
      <c r="E46" s="4">
        <f t="shared" si="1"/>
        <v>2050</v>
      </c>
      <c r="F46" s="3">
        <f t="shared" si="2"/>
        <v>0</v>
      </c>
      <c r="G46" s="4">
        <f t="shared" si="3"/>
        <v>201853.25</v>
      </c>
      <c r="H46" s="4">
        <f t="shared" si="4"/>
        <v>165300.26591406029</v>
      </c>
    </row>
    <row r="47" spans="1:8">
      <c r="A47">
        <v>40</v>
      </c>
      <c r="B47" s="3">
        <v>210000</v>
      </c>
      <c r="C47" s="3">
        <f t="shared" si="0"/>
        <v>18722.260141578867</v>
      </c>
      <c r="D47" s="3">
        <f t="shared" si="5"/>
        <v>1123.5</v>
      </c>
      <c r="E47" s="4">
        <f t="shared" si="1"/>
        <v>2100</v>
      </c>
      <c r="F47" s="3">
        <f t="shared" si="2"/>
        <v>0</v>
      </c>
      <c r="G47" s="4">
        <f t="shared" si="3"/>
        <v>206776.5</v>
      </c>
      <c r="H47" s="4">
        <f t="shared" si="4"/>
        <v>169331.97971684227</v>
      </c>
    </row>
    <row r="48" spans="1:8">
      <c r="A48">
        <v>41</v>
      </c>
      <c r="B48" s="3">
        <v>215000</v>
      </c>
      <c r="C48" s="3">
        <f t="shared" si="0"/>
        <v>19168.028240187887</v>
      </c>
      <c r="D48" s="3">
        <f t="shared" si="5"/>
        <v>1150.25</v>
      </c>
      <c r="E48" s="4">
        <f t="shared" si="1"/>
        <v>2150</v>
      </c>
      <c r="F48" s="3">
        <f t="shared" si="2"/>
        <v>0</v>
      </c>
      <c r="G48" s="4">
        <f t="shared" si="3"/>
        <v>211699.75</v>
      </c>
      <c r="H48" s="4">
        <f t="shared" si="4"/>
        <v>173363.69351962424</v>
      </c>
    </row>
    <row r="49" spans="1:8">
      <c r="A49">
        <v>42</v>
      </c>
      <c r="B49" s="3">
        <v>220000</v>
      </c>
      <c r="C49" s="3">
        <f t="shared" si="0"/>
        <v>19613.796338796907</v>
      </c>
      <c r="D49" s="3">
        <f t="shared" si="5"/>
        <v>1177</v>
      </c>
      <c r="E49" s="4">
        <f t="shared" si="1"/>
        <v>2200</v>
      </c>
      <c r="F49" s="3">
        <f t="shared" si="2"/>
        <v>0</v>
      </c>
      <c r="G49" s="4">
        <f t="shared" si="3"/>
        <v>216623</v>
      </c>
      <c r="H49" s="4">
        <f t="shared" si="4"/>
        <v>177395.40732240619</v>
      </c>
    </row>
    <row r="50" spans="1:8">
      <c r="A50">
        <v>43</v>
      </c>
      <c r="B50" s="3">
        <v>225000</v>
      </c>
      <c r="C50" s="3">
        <f t="shared" si="0"/>
        <v>20059.564437405927</v>
      </c>
      <c r="D50" s="3">
        <f t="shared" si="5"/>
        <v>1203.75</v>
      </c>
      <c r="E50" s="4">
        <f t="shared" si="1"/>
        <v>2250</v>
      </c>
      <c r="F50" s="3">
        <f t="shared" si="2"/>
        <v>0</v>
      </c>
      <c r="G50" s="4">
        <f t="shared" si="3"/>
        <v>221546.25</v>
      </c>
      <c r="H50" s="4">
        <f t="shared" si="4"/>
        <v>181427.12112518813</v>
      </c>
    </row>
    <row r="51" spans="1:8">
      <c r="A51">
        <v>44</v>
      </c>
      <c r="B51" s="3">
        <v>230000</v>
      </c>
      <c r="C51" s="3">
        <f t="shared" si="0"/>
        <v>20505.332536014947</v>
      </c>
      <c r="D51" s="3">
        <f t="shared" si="5"/>
        <v>1230.5</v>
      </c>
      <c r="E51" s="4">
        <f t="shared" si="1"/>
        <v>2300</v>
      </c>
      <c r="F51" s="3">
        <f t="shared" si="2"/>
        <v>0</v>
      </c>
      <c r="G51" s="4">
        <f t="shared" si="3"/>
        <v>226469.5</v>
      </c>
      <c r="H51" s="4">
        <f t="shared" si="4"/>
        <v>185458.83492797011</v>
      </c>
    </row>
    <row r="52" spans="1:8">
      <c r="A52">
        <v>45</v>
      </c>
      <c r="B52" s="3">
        <v>235000</v>
      </c>
      <c r="C52" s="3">
        <f t="shared" si="0"/>
        <v>20951.10063462397</v>
      </c>
      <c r="D52" s="3">
        <f t="shared" si="5"/>
        <v>1257.25</v>
      </c>
      <c r="E52" s="4">
        <f t="shared" si="1"/>
        <v>2350</v>
      </c>
      <c r="F52" s="3">
        <f t="shared" si="2"/>
        <v>0</v>
      </c>
      <c r="G52" s="4">
        <f t="shared" si="3"/>
        <v>231392.75</v>
      </c>
      <c r="H52" s="4">
        <f t="shared" si="4"/>
        <v>189490.54873075205</v>
      </c>
    </row>
    <row r="53" spans="1:8">
      <c r="A53">
        <v>46</v>
      </c>
      <c r="B53" s="3">
        <v>240000</v>
      </c>
      <c r="C53" s="3">
        <f t="shared" si="0"/>
        <v>21396.86873323299</v>
      </c>
      <c r="D53" s="3">
        <f t="shared" si="5"/>
        <v>1284</v>
      </c>
      <c r="E53" s="4">
        <f t="shared" si="1"/>
        <v>2400</v>
      </c>
      <c r="F53" s="3">
        <f t="shared" si="2"/>
        <v>0</v>
      </c>
      <c r="G53" s="4">
        <f t="shared" si="3"/>
        <v>236316</v>
      </c>
      <c r="H53" s="4">
        <f t="shared" si="4"/>
        <v>193522.26253353403</v>
      </c>
    </row>
    <row r="54" spans="1:8">
      <c r="A54">
        <v>47</v>
      </c>
      <c r="B54" s="3">
        <v>245000</v>
      </c>
      <c r="C54" s="3">
        <f t="shared" si="0"/>
        <v>21842.63683184201</v>
      </c>
      <c r="D54" s="3">
        <f t="shared" si="5"/>
        <v>1310.75</v>
      </c>
      <c r="E54" s="4">
        <f t="shared" si="1"/>
        <v>2450</v>
      </c>
      <c r="F54" s="3">
        <f t="shared" si="2"/>
        <v>0</v>
      </c>
      <c r="G54" s="4">
        <f t="shared" si="3"/>
        <v>241239.25</v>
      </c>
      <c r="H54" s="4">
        <f t="shared" si="4"/>
        <v>197553.97633631597</v>
      </c>
    </row>
    <row r="55" spans="1:8">
      <c r="A55">
        <v>48</v>
      </c>
      <c r="B55" s="3">
        <v>250000</v>
      </c>
      <c r="C55" s="3">
        <f t="shared" si="0"/>
        <v>22288.40493045103</v>
      </c>
      <c r="D55" s="3">
        <f t="shared" si="5"/>
        <v>1337.5</v>
      </c>
      <c r="E55" s="4">
        <f t="shared" si="1"/>
        <v>2500</v>
      </c>
      <c r="F55" s="3">
        <f t="shared" si="2"/>
        <v>1250</v>
      </c>
      <c r="G55" s="4">
        <f t="shared" si="3"/>
        <v>244912.5</v>
      </c>
      <c r="H55" s="4">
        <f t="shared" si="4"/>
        <v>200335.69013909795</v>
      </c>
    </row>
    <row r="56" spans="1:8">
      <c r="A56">
        <v>49</v>
      </c>
      <c r="B56" s="3">
        <v>255000</v>
      </c>
      <c r="C56" s="3">
        <f t="shared" si="0"/>
        <v>22734.173029060054</v>
      </c>
      <c r="D56" s="3">
        <f t="shared" si="5"/>
        <v>1364.25</v>
      </c>
      <c r="E56" s="4">
        <f t="shared" si="1"/>
        <v>2550</v>
      </c>
      <c r="F56" s="3">
        <f t="shared" si="2"/>
        <v>1275</v>
      </c>
      <c r="G56" s="4">
        <f t="shared" si="3"/>
        <v>249810.75</v>
      </c>
      <c r="H56" s="4">
        <f t="shared" si="4"/>
        <v>204342.40394187989</v>
      </c>
    </row>
    <row r="57" spans="1:8">
      <c r="A57">
        <v>50</v>
      </c>
      <c r="B57" s="3">
        <v>260000</v>
      </c>
      <c r="C57" s="3">
        <f t="shared" si="0"/>
        <v>23179.941127669073</v>
      </c>
      <c r="D57" s="3">
        <f t="shared" si="5"/>
        <v>1391</v>
      </c>
      <c r="E57" s="4">
        <f t="shared" si="1"/>
        <v>2600</v>
      </c>
      <c r="F57" s="3">
        <f t="shared" si="2"/>
        <v>1300</v>
      </c>
      <c r="G57" s="4">
        <f t="shared" si="3"/>
        <v>254709</v>
      </c>
      <c r="H57" s="4">
        <f t="shared" si="4"/>
        <v>208349.11774466187</v>
      </c>
    </row>
    <row r="58" spans="1:8">
      <c r="A58">
        <v>51</v>
      </c>
      <c r="B58" s="3">
        <v>265000</v>
      </c>
      <c r="C58" s="3">
        <f t="shared" si="0"/>
        <v>23625.70922627809</v>
      </c>
      <c r="D58" s="3">
        <f t="shared" si="5"/>
        <v>1417.75</v>
      </c>
      <c r="E58" s="4">
        <f t="shared" si="1"/>
        <v>2650</v>
      </c>
      <c r="F58" s="3">
        <f t="shared" si="2"/>
        <v>1325</v>
      </c>
      <c r="G58" s="4">
        <f t="shared" si="3"/>
        <v>259607.25</v>
      </c>
      <c r="H58" s="4">
        <f t="shared" si="4"/>
        <v>212355.83154744381</v>
      </c>
    </row>
    <row r="59" spans="1:8">
      <c r="A59">
        <v>52</v>
      </c>
      <c r="B59" s="3">
        <v>270000</v>
      </c>
      <c r="C59" s="3">
        <f t="shared" si="0"/>
        <v>24071.477324887113</v>
      </c>
      <c r="D59" s="3">
        <f t="shared" si="5"/>
        <v>1444.5</v>
      </c>
      <c r="E59" s="4">
        <f t="shared" si="1"/>
        <v>2700</v>
      </c>
      <c r="F59" s="3">
        <f t="shared" si="2"/>
        <v>1350</v>
      </c>
      <c r="G59" s="4">
        <f t="shared" si="3"/>
        <v>264505.5</v>
      </c>
      <c r="H59" s="4">
        <f t="shared" si="4"/>
        <v>216362.54535022576</v>
      </c>
    </row>
    <row r="60" spans="1:8">
      <c r="A60">
        <v>53</v>
      </c>
      <c r="B60" s="3">
        <v>275000</v>
      </c>
      <c r="C60" s="3">
        <f t="shared" si="0"/>
        <v>24517.245423496137</v>
      </c>
      <c r="D60" s="3">
        <f t="shared" si="5"/>
        <v>1471.25</v>
      </c>
      <c r="E60" s="4">
        <f t="shared" si="1"/>
        <v>2750</v>
      </c>
      <c r="F60" s="3">
        <f t="shared" si="2"/>
        <v>1375</v>
      </c>
      <c r="G60" s="4">
        <f t="shared" si="3"/>
        <v>269403.75</v>
      </c>
      <c r="H60" s="4">
        <f t="shared" si="4"/>
        <v>220369.25915300773</v>
      </c>
    </row>
    <row r="61" spans="1:8">
      <c r="A61">
        <v>54</v>
      </c>
      <c r="B61" s="3">
        <v>280000</v>
      </c>
      <c r="C61" s="3">
        <f t="shared" si="0"/>
        <v>24963.013522105153</v>
      </c>
      <c r="D61" s="3">
        <f t="shared" si="5"/>
        <v>1498</v>
      </c>
      <c r="E61" s="4">
        <f t="shared" si="1"/>
        <v>2800</v>
      </c>
      <c r="F61" s="3">
        <f t="shared" si="2"/>
        <v>1400</v>
      </c>
      <c r="G61" s="4">
        <f t="shared" si="3"/>
        <v>274302</v>
      </c>
      <c r="H61" s="4">
        <f t="shared" si="4"/>
        <v>224375.97295578971</v>
      </c>
    </row>
    <row r="62" spans="1:8">
      <c r="A62">
        <v>55</v>
      </c>
      <c r="B62" s="3">
        <v>285000</v>
      </c>
      <c r="C62" s="3">
        <f t="shared" si="0"/>
        <v>25408.781620714177</v>
      </c>
      <c r="D62" s="3">
        <f t="shared" si="5"/>
        <v>1524.75</v>
      </c>
      <c r="E62" s="4">
        <f t="shared" si="1"/>
        <v>2850</v>
      </c>
      <c r="F62" s="3">
        <f t="shared" si="2"/>
        <v>1425</v>
      </c>
      <c r="G62" s="4">
        <f t="shared" si="3"/>
        <v>279200.25</v>
      </c>
      <c r="H62" s="4">
        <f t="shared" si="4"/>
        <v>228382.68675857165</v>
      </c>
    </row>
    <row r="63" spans="1:8">
      <c r="A63">
        <v>56</v>
      </c>
      <c r="B63" s="3">
        <v>290000</v>
      </c>
      <c r="C63" s="3">
        <f t="shared" si="0"/>
        <v>25854.549719323197</v>
      </c>
      <c r="D63" s="3">
        <f t="shared" si="5"/>
        <v>1551.5</v>
      </c>
      <c r="E63" s="4">
        <f t="shared" si="1"/>
        <v>2900</v>
      </c>
      <c r="F63" s="3">
        <f t="shared" si="2"/>
        <v>1450</v>
      </c>
      <c r="G63" s="4">
        <f t="shared" si="3"/>
        <v>284098.5</v>
      </c>
      <c r="H63" s="4">
        <f t="shared" si="4"/>
        <v>232389.4005613536</v>
      </c>
    </row>
    <row r="64" spans="1:8">
      <c r="A64">
        <v>57</v>
      </c>
      <c r="B64" s="3">
        <v>295000</v>
      </c>
      <c r="C64" s="3">
        <f t="shared" si="0"/>
        <v>26300.317817932217</v>
      </c>
      <c r="D64" s="3">
        <f t="shared" si="5"/>
        <v>1578.25</v>
      </c>
      <c r="E64" s="4">
        <f t="shared" si="1"/>
        <v>2950</v>
      </c>
      <c r="F64" s="3">
        <f t="shared" si="2"/>
        <v>1475</v>
      </c>
      <c r="G64" s="4">
        <f t="shared" si="3"/>
        <v>288996.75</v>
      </c>
      <c r="H64" s="4">
        <f t="shared" si="4"/>
        <v>236396.11436413557</v>
      </c>
    </row>
    <row r="65" spans="1:8">
      <c r="A65">
        <v>58</v>
      </c>
      <c r="B65" s="3">
        <v>300000</v>
      </c>
      <c r="C65" s="3">
        <f t="shared" si="0"/>
        <v>26746.085916541237</v>
      </c>
      <c r="D65" s="3">
        <f t="shared" si="5"/>
        <v>1605</v>
      </c>
      <c r="E65" s="4">
        <f t="shared" si="1"/>
        <v>3000</v>
      </c>
      <c r="F65" s="3">
        <f t="shared" si="2"/>
        <v>1500</v>
      </c>
      <c r="G65" s="4">
        <f t="shared" si="3"/>
        <v>293895</v>
      </c>
      <c r="H65" s="4">
        <f t="shared" si="4"/>
        <v>240402.82816691752</v>
      </c>
    </row>
    <row r="66" spans="1:8">
      <c r="A66">
        <v>59</v>
      </c>
      <c r="B66" s="3">
        <v>305000</v>
      </c>
      <c r="C66" s="3">
        <f t="shared" si="0"/>
        <v>27191.85401515026</v>
      </c>
      <c r="D66" s="3">
        <f t="shared" si="5"/>
        <v>1631.75</v>
      </c>
      <c r="E66" s="4">
        <f t="shared" si="1"/>
        <v>3050</v>
      </c>
      <c r="F66" s="3">
        <f t="shared" si="2"/>
        <v>1525</v>
      </c>
      <c r="G66" s="4">
        <f t="shared" si="3"/>
        <v>298793.25</v>
      </c>
      <c r="H66" s="4">
        <f t="shared" si="4"/>
        <v>244409.54196969949</v>
      </c>
    </row>
    <row r="67" spans="1:8">
      <c r="A67">
        <v>60</v>
      </c>
      <c r="B67" s="3">
        <v>310000</v>
      </c>
      <c r="C67" s="3">
        <f t="shared" si="0"/>
        <v>27637.622113759277</v>
      </c>
      <c r="D67" s="3">
        <f t="shared" si="5"/>
        <v>1658.5</v>
      </c>
      <c r="E67" s="4">
        <f t="shared" si="1"/>
        <v>3100</v>
      </c>
      <c r="F67" s="3">
        <f t="shared" si="2"/>
        <v>1550</v>
      </c>
      <c r="G67" s="4">
        <f t="shared" si="3"/>
        <v>303691.5</v>
      </c>
      <c r="H67" s="4">
        <f t="shared" si="4"/>
        <v>248416.25577248144</v>
      </c>
    </row>
    <row r="68" spans="1:8">
      <c r="A68">
        <v>61</v>
      </c>
      <c r="B68" s="3">
        <v>315000</v>
      </c>
      <c r="C68" s="3">
        <f t="shared" si="0"/>
        <v>28083.3902123683</v>
      </c>
      <c r="D68" s="3">
        <f t="shared" si="5"/>
        <v>1685.25</v>
      </c>
      <c r="E68" s="4">
        <f t="shared" si="1"/>
        <v>3150</v>
      </c>
      <c r="F68" s="3">
        <f t="shared" si="2"/>
        <v>1575</v>
      </c>
      <c r="G68" s="4">
        <f t="shared" si="3"/>
        <v>308589.75</v>
      </c>
      <c r="H68" s="4">
        <f t="shared" si="4"/>
        <v>252422.96957526339</v>
      </c>
    </row>
    <row r="69" spans="1:8">
      <c r="A69">
        <v>62</v>
      </c>
      <c r="B69" s="3">
        <v>320000</v>
      </c>
      <c r="C69" s="3">
        <f t="shared" si="0"/>
        <v>28529.15831097732</v>
      </c>
      <c r="D69" s="3">
        <f t="shared" si="5"/>
        <v>1712</v>
      </c>
      <c r="E69" s="4">
        <f t="shared" si="1"/>
        <v>3200</v>
      </c>
      <c r="F69" s="3">
        <f t="shared" si="2"/>
        <v>1600</v>
      </c>
      <c r="G69" s="4">
        <f t="shared" si="3"/>
        <v>313488</v>
      </c>
      <c r="H69" s="4">
        <f t="shared" si="4"/>
        <v>256429.68337804536</v>
      </c>
    </row>
    <row r="70" spans="1:8">
      <c r="A70">
        <v>63</v>
      </c>
      <c r="B70" s="3">
        <v>325000</v>
      </c>
      <c r="C70" s="3">
        <f t="shared" si="0"/>
        <v>28974.92640958634</v>
      </c>
      <c r="D70" s="3">
        <f t="shared" si="5"/>
        <v>1738.7499999999998</v>
      </c>
      <c r="E70" s="4">
        <f t="shared" si="1"/>
        <v>3250</v>
      </c>
      <c r="F70" s="3">
        <f t="shared" si="2"/>
        <v>1625</v>
      </c>
      <c r="G70" s="4">
        <f t="shared" si="3"/>
        <v>318386.25</v>
      </c>
      <c r="H70" s="4">
        <f t="shared" si="4"/>
        <v>260436.39718082733</v>
      </c>
    </row>
    <row r="71" spans="1:8">
      <c r="A71">
        <v>64</v>
      </c>
      <c r="B71" s="3">
        <v>330000</v>
      </c>
      <c r="C71" s="3">
        <f t="shared" si="0"/>
        <v>29420.69450819536</v>
      </c>
      <c r="D71" s="3">
        <f t="shared" si="5"/>
        <v>1765.4999999999998</v>
      </c>
      <c r="E71" s="4">
        <f t="shared" si="1"/>
        <v>3300</v>
      </c>
      <c r="F71" s="3">
        <f t="shared" si="2"/>
        <v>1650</v>
      </c>
      <c r="G71" s="4">
        <f t="shared" si="3"/>
        <v>323284.5</v>
      </c>
      <c r="H71" s="4">
        <f t="shared" si="4"/>
        <v>264443.11098360928</v>
      </c>
    </row>
    <row r="72" spans="1:8">
      <c r="A72">
        <v>65</v>
      </c>
      <c r="B72" s="3">
        <v>335000</v>
      </c>
      <c r="C72" s="3">
        <f t="shared" si="0"/>
        <v>29866.462606804384</v>
      </c>
      <c r="D72" s="3">
        <f t="shared" si="5"/>
        <v>1792.2499999999998</v>
      </c>
      <c r="E72" s="4">
        <f t="shared" si="1"/>
        <v>3350</v>
      </c>
      <c r="F72" s="3">
        <f t="shared" si="2"/>
        <v>1675</v>
      </c>
      <c r="G72" s="4">
        <f t="shared" si="3"/>
        <v>328182.75</v>
      </c>
      <c r="H72" s="4">
        <f t="shared" si="4"/>
        <v>268449.82478639123</v>
      </c>
    </row>
    <row r="73" spans="1:8">
      <c r="A73">
        <v>66</v>
      </c>
      <c r="B73" s="3">
        <v>340000</v>
      </c>
      <c r="C73" s="3">
        <f t="shared" ref="C73:C85" si="6">-PMT(12.651%/12,12,B73)</f>
        <v>30312.2307054134</v>
      </c>
      <c r="D73" s="3">
        <f t="shared" si="5"/>
        <v>1818.9999999999998</v>
      </c>
      <c r="E73" s="4">
        <f t="shared" ref="E73:E85" si="7">0.01*B73</f>
        <v>3400</v>
      </c>
      <c r="F73" s="3">
        <f t="shared" ref="F73:F85" si="8">IF(B73&lt;250000,0,B73/200)</f>
        <v>1700</v>
      </c>
      <c r="G73" s="4">
        <f t="shared" ref="G73:G85" si="9">B73-D73-E73-F73</f>
        <v>333081</v>
      </c>
      <c r="H73" s="4">
        <f t="shared" ref="H73:H85" si="10">B73-D73-E73-F73-(2*C73)</f>
        <v>272456.53858917323</v>
      </c>
    </row>
    <row r="74" spans="1:8">
      <c r="A74">
        <v>67</v>
      </c>
      <c r="B74" s="3">
        <v>345000</v>
      </c>
      <c r="C74" s="3">
        <f t="shared" si="6"/>
        <v>30757.998804022423</v>
      </c>
      <c r="D74" s="3">
        <f t="shared" ref="D74:D85" si="11">(B74/1000)*5.35</f>
        <v>1845.7499999999998</v>
      </c>
      <c r="E74" s="4">
        <f t="shared" si="7"/>
        <v>3450</v>
      </c>
      <c r="F74" s="3">
        <f t="shared" si="8"/>
        <v>1725</v>
      </c>
      <c r="G74" s="4">
        <f t="shared" si="9"/>
        <v>337979.25</v>
      </c>
      <c r="H74" s="4">
        <f t="shared" si="10"/>
        <v>276463.25239195517</v>
      </c>
    </row>
    <row r="75" spans="1:8">
      <c r="A75">
        <v>68</v>
      </c>
      <c r="B75" s="3">
        <v>350000</v>
      </c>
      <c r="C75" s="3">
        <f t="shared" si="6"/>
        <v>31203.766902631447</v>
      </c>
      <c r="D75" s="3">
        <f t="shared" si="11"/>
        <v>1872.4999999999998</v>
      </c>
      <c r="E75" s="4">
        <f t="shared" si="7"/>
        <v>3500</v>
      </c>
      <c r="F75" s="3">
        <f t="shared" si="8"/>
        <v>1750</v>
      </c>
      <c r="G75" s="4">
        <f t="shared" si="9"/>
        <v>342877.5</v>
      </c>
      <c r="H75" s="4">
        <f t="shared" si="10"/>
        <v>280469.96619473712</v>
      </c>
    </row>
    <row r="76" spans="1:8">
      <c r="A76">
        <v>69</v>
      </c>
      <c r="B76" s="3">
        <v>355000</v>
      </c>
      <c r="C76" s="3">
        <f t="shared" si="6"/>
        <v>31649.535001240463</v>
      </c>
      <c r="D76" s="3">
        <f t="shared" si="11"/>
        <v>1899.2499999999998</v>
      </c>
      <c r="E76" s="4">
        <f t="shared" si="7"/>
        <v>3550</v>
      </c>
      <c r="F76" s="3">
        <f t="shared" si="8"/>
        <v>1775</v>
      </c>
      <c r="G76" s="4">
        <f t="shared" si="9"/>
        <v>347775.75</v>
      </c>
      <c r="H76" s="4">
        <f t="shared" si="10"/>
        <v>284476.67999751907</v>
      </c>
    </row>
    <row r="77" spans="1:8">
      <c r="A77">
        <v>70</v>
      </c>
      <c r="B77" s="3">
        <v>360000</v>
      </c>
      <c r="C77" s="3">
        <f t="shared" si="6"/>
        <v>32095.303099849483</v>
      </c>
      <c r="D77" s="3">
        <f t="shared" si="11"/>
        <v>1925.9999999999998</v>
      </c>
      <c r="E77" s="4">
        <f t="shared" si="7"/>
        <v>3600</v>
      </c>
      <c r="F77" s="3">
        <f t="shared" si="8"/>
        <v>1800</v>
      </c>
      <c r="G77" s="4">
        <f t="shared" si="9"/>
        <v>352674</v>
      </c>
      <c r="H77" s="4">
        <f t="shared" si="10"/>
        <v>288483.39380030101</v>
      </c>
    </row>
    <row r="78" spans="1:8">
      <c r="A78">
        <v>71</v>
      </c>
      <c r="B78" s="3">
        <v>365000</v>
      </c>
      <c r="C78" s="3">
        <f t="shared" si="6"/>
        <v>32541.071198458507</v>
      </c>
      <c r="D78" s="3">
        <f t="shared" si="11"/>
        <v>1952.7499999999998</v>
      </c>
      <c r="E78" s="4">
        <f t="shared" si="7"/>
        <v>3650</v>
      </c>
      <c r="F78" s="3">
        <f t="shared" si="8"/>
        <v>1825</v>
      </c>
      <c r="G78" s="4">
        <f t="shared" si="9"/>
        <v>357572.25</v>
      </c>
      <c r="H78" s="4">
        <f t="shared" si="10"/>
        <v>292490.10760308302</v>
      </c>
    </row>
    <row r="79" spans="1:8">
      <c r="A79">
        <v>72</v>
      </c>
      <c r="B79" s="3">
        <v>370000</v>
      </c>
      <c r="C79" s="3">
        <f t="shared" si="6"/>
        <v>32986.839297067527</v>
      </c>
      <c r="D79" s="3">
        <f t="shared" si="11"/>
        <v>1979.4999999999998</v>
      </c>
      <c r="E79" s="4">
        <f t="shared" si="7"/>
        <v>3700</v>
      </c>
      <c r="F79" s="3">
        <f t="shared" si="8"/>
        <v>1850</v>
      </c>
      <c r="G79" s="4">
        <f t="shared" si="9"/>
        <v>362470.5</v>
      </c>
      <c r="H79" s="4">
        <f t="shared" si="10"/>
        <v>296496.82140586496</v>
      </c>
    </row>
    <row r="80" spans="1:8">
      <c r="A80">
        <v>73</v>
      </c>
      <c r="B80" s="3">
        <v>375000</v>
      </c>
      <c r="C80" s="3">
        <f t="shared" si="6"/>
        <v>33432.607395676547</v>
      </c>
      <c r="D80" s="3">
        <f t="shared" si="11"/>
        <v>2006.2499999999998</v>
      </c>
      <c r="E80" s="4">
        <f t="shared" si="7"/>
        <v>3750</v>
      </c>
      <c r="F80" s="3">
        <f t="shared" si="8"/>
        <v>1875</v>
      </c>
      <c r="G80" s="4">
        <f t="shared" si="9"/>
        <v>367368.75</v>
      </c>
      <c r="H80" s="4">
        <f t="shared" si="10"/>
        <v>300503.53520864691</v>
      </c>
    </row>
    <row r="81" spans="1:8">
      <c r="A81">
        <v>74</v>
      </c>
      <c r="B81" s="3">
        <v>380000</v>
      </c>
      <c r="C81" s="3">
        <f t="shared" si="6"/>
        <v>33878.375494285567</v>
      </c>
      <c r="D81" s="3">
        <f t="shared" si="11"/>
        <v>2032.9999999999998</v>
      </c>
      <c r="E81" s="4">
        <f t="shared" si="7"/>
        <v>3800</v>
      </c>
      <c r="F81" s="3">
        <f t="shared" si="8"/>
        <v>1900</v>
      </c>
      <c r="G81" s="4">
        <f t="shared" si="9"/>
        <v>372267</v>
      </c>
      <c r="H81" s="4">
        <f t="shared" si="10"/>
        <v>304510.24901142885</v>
      </c>
    </row>
    <row r="82" spans="1:8">
      <c r="A82">
        <v>75</v>
      </c>
      <c r="B82" s="3">
        <v>385000</v>
      </c>
      <c r="C82" s="3">
        <f t="shared" si="6"/>
        <v>34324.143592894587</v>
      </c>
      <c r="D82" s="3">
        <f t="shared" si="11"/>
        <v>2059.75</v>
      </c>
      <c r="E82" s="4">
        <f t="shared" si="7"/>
        <v>3850</v>
      </c>
      <c r="F82" s="3">
        <f t="shared" si="8"/>
        <v>1925</v>
      </c>
      <c r="G82" s="4">
        <f t="shared" si="9"/>
        <v>377165.25</v>
      </c>
      <c r="H82" s="4">
        <f t="shared" si="10"/>
        <v>308516.9628142108</v>
      </c>
    </row>
    <row r="83" spans="1:8">
      <c r="A83">
        <v>76</v>
      </c>
      <c r="B83" s="3">
        <v>390000</v>
      </c>
      <c r="C83" s="3">
        <f t="shared" si="6"/>
        <v>34769.911691503607</v>
      </c>
      <c r="D83" s="3">
        <f t="shared" si="11"/>
        <v>2086.5</v>
      </c>
      <c r="E83" s="4">
        <f t="shared" si="7"/>
        <v>3900</v>
      </c>
      <c r="F83" s="3">
        <f t="shared" si="8"/>
        <v>1950</v>
      </c>
      <c r="G83" s="4">
        <f t="shared" si="9"/>
        <v>382063.5</v>
      </c>
      <c r="H83" s="4">
        <f t="shared" si="10"/>
        <v>312523.6766169928</v>
      </c>
    </row>
    <row r="84" spans="1:8">
      <c r="A84">
        <v>77</v>
      </c>
      <c r="B84" s="3">
        <v>395000</v>
      </c>
      <c r="C84" s="3">
        <f t="shared" si="6"/>
        <v>35215.679790112634</v>
      </c>
      <c r="D84" s="3">
        <f t="shared" si="11"/>
        <v>2113.25</v>
      </c>
      <c r="E84" s="4">
        <f t="shared" si="7"/>
        <v>3950</v>
      </c>
      <c r="F84" s="3">
        <f t="shared" si="8"/>
        <v>1975</v>
      </c>
      <c r="G84" s="4">
        <f t="shared" si="9"/>
        <v>386961.75</v>
      </c>
      <c r="H84" s="4">
        <f t="shared" si="10"/>
        <v>316530.39041977475</v>
      </c>
    </row>
    <row r="85" spans="1:8">
      <c r="A85">
        <v>78</v>
      </c>
      <c r="B85" s="3">
        <v>400000</v>
      </c>
      <c r="C85" s="3">
        <f t="shared" si="6"/>
        <v>35661.447888721646</v>
      </c>
      <c r="D85" s="3">
        <f t="shared" si="11"/>
        <v>2140</v>
      </c>
      <c r="E85" s="4">
        <f t="shared" si="7"/>
        <v>4000</v>
      </c>
      <c r="F85" s="3">
        <f t="shared" si="8"/>
        <v>2000</v>
      </c>
      <c r="G85" s="4">
        <f t="shared" si="9"/>
        <v>391860</v>
      </c>
      <c r="H85" s="4">
        <f t="shared" si="10"/>
        <v>320537.10422255669</v>
      </c>
    </row>
  </sheetData>
  <mergeCells count="9">
    <mergeCell ref="G5:H5"/>
    <mergeCell ref="B2:H2"/>
    <mergeCell ref="B3:H3"/>
    <mergeCell ref="B5:B6"/>
    <mergeCell ref="C5:C6"/>
    <mergeCell ref="D5:D6"/>
    <mergeCell ref="E5:E6"/>
    <mergeCell ref="F5:F6"/>
    <mergeCell ref="B4:H4"/>
  </mergeCells>
  <phoneticPr fontId="0" type="noConversion"/>
  <printOptions horizontalCentered="1"/>
  <pageMargins left="0.25" right="0.25" top="0.2" bottom="0.75" header="0.05" footer="0.05"/>
  <pageSetup paperSize="5" scale="70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>
    <tabColor rgb="FFFFFF00"/>
  </sheetPr>
  <dimension ref="C5:II89"/>
  <sheetViews>
    <sheetView view="pageBreakPreview" zoomScale="80" zoomScaleNormal="80" zoomScaleSheetLayoutView="80" zoomScalePageLayoutView="50" workbookViewId="0">
      <selection activeCell="C20" sqref="C20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11.1796875" style="301" customWidth="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4" width="9.1796875" style="301"/>
    <col min="15" max="15" width="13.26953125" style="301" customWidth="1"/>
    <col min="16" max="16" width="1.81640625" style="301" customWidth="1"/>
    <col min="17" max="17" width="2" style="301" customWidth="1"/>
    <col min="18" max="18" width="17.26953125" style="301" customWidth="1"/>
    <col min="19" max="19" width="10.453125" style="301" customWidth="1"/>
    <col min="20" max="20" width="16.54296875" style="301" customWidth="1"/>
    <col min="21" max="21" width="14.26953125" style="301" bestFit="1" customWidth="1"/>
    <col min="22" max="22" width="9.1796875" style="301"/>
    <col min="23" max="23" width="2.453125" style="301" customWidth="1"/>
    <col min="24" max="24" width="10.1796875" style="301" bestFit="1" customWidth="1"/>
    <col min="25" max="26" width="9.1796875" style="301"/>
    <col min="27" max="27" width="13.26953125" style="301" customWidth="1"/>
    <col min="28" max="28" width="1.81640625" style="301" customWidth="1"/>
    <col min="29" max="29" width="2" style="301" customWidth="1"/>
    <col min="30" max="30" width="17.26953125" style="301" customWidth="1"/>
    <col min="31" max="31" width="11.453125" style="301" customWidth="1"/>
    <col min="32" max="32" width="16.54296875" style="301" customWidth="1"/>
    <col min="33" max="33" width="14.26953125" style="301" bestFit="1" customWidth="1"/>
    <col min="34" max="34" width="9.1796875" style="301"/>
    <col min="35" max="35" width="2.453125" style="301" customWidth="1"/>
    <col min="36" max="36" width="10.1796875" style="301" bestFit="1" customWidth="1"/>
    <col min="37" max="38" width="9.1796875" style="301"/>
    <col min="39" max="39" width="13.26953125" style="301" customWidth="1"/>
    <col min="40" max="40" width="1.81640625" style="301" customWidth="1"/>
    <col min="41" max="41" width="2" style="301" customWidth="1"/>
    <col min="42" max="42" width="17.26953125" style="301" customWidth="1"/>
    <col min="43" max="43" width="10.7265625" style="301" customWidth="1"/>
    <col min="44" max="44" width="16.54296875" style="301" customWidth="1"/>
    <col min="45" max="45" width="14.26953125" style="301" bestFit="1" customWidth="1"/>
    <col min="46" max="46" width="9.1796875" style="301"/>
    <col min="47" max="47" width="2.453125" style="301" customWidth="1"/>
    <col min="48" max="48" width="10.1796875" style="301" bestFit="1" customWidth="1"/>
    <col min="49" max="50" width="9.1796875" style="301"/>
    <col min="51" max="51" width="13.26953125" style="301" customWidth="1"/>
    <col min="52" max="52" width="1.81640625" style="301" customWidth="1"/>
    <col min="53" max="53" width="2" style="301" customWidth="1"/>
    <col min="54" max="54" width="17.26953125" style="301" customWidth="1"/>
    <col min="55" max="55" width="11" style="301" customWidth="1"/>
    <col min="56" max="56" width="16.54296875" style="301" customWidth="1"/>
    <col min="57" max="57" width="14.26953125" style="301" bestFit="1" customWidth="1"/>
    <col min="58" max="58" width="9.1796875" style="301"/>
    <col min="59" max="59" width="2.453125" style="301" customWidth="1"/>
    <col min="60" max="60" width="10.1796875" style="301" bestFit="1" customWidth="1"/>
    <col min="61" max="62" width="9.1796875" style="301"/>
    <col min="63" max="63" width="13.26953125" style="301" customWidth="1"/>
    <col min="64" max="64" width="1.81640625" style="301" customWidth="1"/>
    <col min="65" max="65" width="2" style="301" customWidth="1"/>
    <col min="66" max="66" width="17.26953125" style="301" customWidth="1"/>
    <col min="67" max="67" width="11.26953125" style="301" customWidth="1"/>
    <col min="68" max="68" width="16.54296875" style="301" customWidth="1"/>
    <col min="69" max="69" width="14.26953125" style="301" bestFit="1" customWidth="1"/>
    <col min="70" max="70" width="9.1796875" style="301"/>
    <col min="71" max="71" width="2.453125" style="301" customWidth="1"/>
    <col min="72" max="72" width="10.1796875" style="301" bestFit="1" customWidth="1"/>
    <col min="73" max="74" width="9.1796875" style="301"/>
    <col min="75" max="75" width="13.26953125" style="301" customWidth="1"/>
    <col min="76" max="76" width="1.81640625" style="301" customWidth="1"/>
    <col min="77" max="77" width="2" style="301" customWidth="1"/>
    <col min="78" max="78" width="17.26953125" style="301" customWidth="1"/>
    <col min="79" max="79" width="10.54296875" style="301" customWidth="1"/>
    <col min="80" max="80" width="16.54296875" style="301" customWidth="1"/>
    <col min="81" max="81" width="14.26953125" style="301" bestFit="1" customWidth="1"/>
    <col min="82" max="82" width="9.1796875" style="301"/>
    <col min="83" max="83" width="2.453125" style="301" customWidth="1"/>
    <col min="84" max="84" width="10.1796875" style="301" bestFit="1" customWidth="1"/>
    <col min="85" max="86" width="9.1796875" style="301"/>
    <col min="87" max="87" width="13.26953125" style="301" customWidth="1"/>
    <col min="88" max="88" width="1.81640625" style="301" customWidth="1"/>
    <col min="89" max="89" width="2" style="301" customWidth="1"/>
    <col min="90" max="90" width="17.26953125" style="301" customWidth="1"/>
    <col min="91" max="91" width="10.7265625" style="301" customWidth="1"/>
    <col min="92" max="92" width="16.54296875" style="301" customWidth="1"/>
    <col min="93" max="93" width="14.26953125" style="301" bestFit="1" customWidth="1"/>
    <col min="94" max="94" width="9.1796875" style="301"/>
    <col min="95" max="95" width="2.453125" style="301" customWidth="1"/>
    <col min="96" max="96" width="10.1796875" style="301" bestFit="1" customWidth="1"/>
    <col min="97" max="98" width="9.1796875" style="301"/>
    <col min="99" max="99" width="13.26953125" style="301" customWidth="1"/>
    <col min="100" max="100" width="1.81640625" style="301" customWidth="1"/>
    <col min="101" max="101" width="2" style="301" customWidth="1"/>
    <col min="102" max="102" width="17.26953125" style="301" customWidth="1"/>
    <col min="103" max="103" width="11.26953125" style="301" customWidth="1"/>
    <col min="104" max="104" width="16.54296875" style="301" customWidth="1"/>
    <col min="105" max="105" width="14.26953125" style="301" bestFit="1" customWidth="1"/>
    <col min="106" max="106" width="9.1796875" style="301"/>
    <col min="107" max="107" width="2.453125" style="301" customWidth="1"/>
    <col min="108" max="108" width="10.1796875" style="301" bestFit="1" customWidth="1"/>
    <col min="109" max="110" width="9.1796875" style="301"/>
    <col min="111" max="111" width="13.26953125" style="301" customWidth="1"/>
    <col min="112" max="112" width="1.81640625" style="301" customWidth="1"/>
    <col min="113" max="113" width="2" style="301" customWidth="1"/>
    <col min="114" max="114" width="17.26953125" style="301" customWidth="1"/>
    <col min="115" max="115" width="11.26953125" style="301" customWidth="1"/>
    <col min="116" max="116" width="16.54296875" style="301" customWidth="1"/>
    <col min="117" max="117" width="14.26953125" style="301" bestFit="1" customWidth="1"/>
    <col min="118" max="118" width="9.1796875" style="301"/>
    <col min="119" max="119" width="2.453125" style="301" customWidth="1"/>
    <col min="120" max="120" width="10.1796875" style="301" bestFit="1" customWidth="1"/>
    <col min="121" max="122" width="9.1796875" style="301"/>
    <col min="123" max="123" width="13.26953125" style="301" customWidth="1"/>
    <col min="124" max="124" width="1.81640625" style="301" customWidth="1"/>
    <col min="125" max="125" width="2" style="301" customWidth="1"/>
    <col min="126" max="126" width="17.26953125" style="301" customWidth="1"/>
    <col min="127" max="127" width="11" style="301" customWidth="1"/>
    <col min="128" max="128" width="16.54296875" style="301" customWidth="1"/>
    <col min="129" max="129" width="14.26953125" style="301" bestFit="1" customWidth="1"/>
    <col min="130" max="130" width="9.1796875" style="301"/>
    <col min="131" max="131" width="2.453125" style="301" customWidth="1"/>
    <col min="132" max="132" width="10.1796875" style="301" bestFit="1" customWidth="1"/>
    <col min="133" max="134" width="9.1796875" style="301"/>
    <col min="135" max="135" width="13.26953125" style="301" customWidth="1"/>
    <col min="136" max="136" width="1.81640625" style="301" customWidth="1"/>
    <col min="137" max="137" width="2" style="301" customWidth="1"/>
    <col min="138" max="138" width="17.26953125" style="301" customWidth="1"/>
    <col min="139" max="139" width="10.26953125" style="301" customWidth="1"/>
    <col min="140" max="140" width="16.54296875" style="301" customWidth="1"/>
    <col min="141" max="141" width="14.26953125" style="301" bestFit="1" customWidth="1"/>
    <col min="142" max="142" width="9.1796875" style="301"/>
    <col min="143" max="143" width="2.453125" style="301" customWidth="1"/>
    <col min="144" max="144" width="10.1796875" style="301" bestFit="1" customWidth="1"/>
    <col min="145" max="146" width="9.1796875" style="301"/>
    <col min="147" max="147" width="4.81640625" style="301" customWidth="1"/>
    <col min="148" max="148" width="13.26953125" style="301" customWidth="1"/>
    <col min="149" max="149" width="1.81640625" style="301" customWidth="1"/>
    <col min="150" max="150" width="2" style="301" customWidth="1"/>
    <col min="151" max="151" width="17.26953125" style="301" customWidth="1"/>
    <col min="152" max="152" width="10.453125" style="301" customWidth="1"/>
    <col min="153" max="153" width="16.54296875" style="301" customWidth="1"/>
    <col min="154" max="154" width="15" style="301" customWidth="1"/>
    <col min="155" max="155" width="9.1796875" style="301"/>
    <col min="156" max="156" width="2.453125" style="301" customWidth="1"/>
    <col min="157" max="157" width="10.1796875" style="301" bestFit="1" customWidth="1"/>
    <col min="158" max="159" width="9.1796875" style="301"/>
    <col min="160" max="160" width="13.26953125" style="301" customWidth="1"/>
    <col min="161" max="161" width="1.81640625" style="301" customWidth="1"/>
    <col min="162" max="162" width="2" style="301" customWidth="1"/>
    <col min="163" max="163" width="17.26953125" style="301" customWidth="1"/>
    <col min="164" max="164" width="9.1796875" style="301"/>
    <col min="165" max="165" width="16.54296875" style="301" customWidth="1"/>
    <col min="166" max="166" width="14.26953125" style="301" bestFit="1" customWidth="1"/>
    <col min="167" max="167" width="9.1796875" style="301"/>
    <col min="168" max="168" width="2.453125" style="301" customWidth="1"/>
    <col min="169" max="169" width="10.1796875" style="301" bestFit="1" customWidth="1"/>
    <col min="170" max="171" width="9.1796875" style="301"/>
    <col min="172" max="172" width="13.26953125" style="301" customWidth="1"/>
    <col min="173" max="173" width="1.81640625" style="301" customWidth="1"/>
    <col min="174" max="174" width="2" style="301" customWidth="1"/>
    <col min="175" max="175" width="17.26953125" style="301" customWidth="1"/>
    <col min="176" max="176" width="10.26953125" style="301" customWidth="1"/>
    <col min="177" max="177" width="16.54296875" style="301" customWidth="1"/>
    <col min="178" max="178" width="14.26953125" style="301" bestFit="1" customWidth="1"/>
    <col min="179" max="179" width="9.1796875" style="301"/>
    <col min="180" max="180" width="2.453125" style="301" customWidth="1"/>
    <col min="181" max="181" width="10.1796875" style="301" bestFit="1" customWidth="1"/>
    <col min="182" max="183" width="9.1796875" style="301"/>
    <col min="184" max="184" width="13.26953125" style="301" customWidth="1"/>
    <col min="185" max="185" width="1.81640625" style="301" customWidth="1"/>
    <col min="186" max="186" width="2" style="301" customWidth="1"/>
    <col min="187" max="187" width="17.26953125" style="301" customWidth="1"/>
    <col min="188" max="188" width="10.453125" style="301" customWidth="1"/>
    <col min="189" max="189" width="16.54296875" style="301" customWidth="1"/>
    <col min="190" max="190" width="14.26953125" style="301" bestFit="1" customWidth="1"/>
    <col min="191" max="191" width="9.1796875" style="301"/>
    <col min="192" max="192" width="2.453125" style="301" customWidth="1"/>
    <col min="193" max="193" width="10.1796875" style="301" bestFit="1" customWidth="1"/>
    <col min="194" max="195" width="9.1796875" style="301"/>
    <col min="196" max="196" width="13.26953125" style="301" customWidth="1"/>
    <col min="197" max="197" width="1.81640625" style="301" customWidth="1"/>
    <col min="198" max="198" width="2" style="301" customWidth="1"/>
    <col min="199" max="199" width="17.26953125" style="301" customWidth="1"/>
    <col min="200" max="200" width="11" style="301" customWidth="1"/>
    <col min="201" max="201" width="16.54296875" style="301" customWidth="1"/>
    <col min="202" max="202" width="14.26953125" style="301" bestFit="1" customWidth="1"/>
    <col min="203" max="203" width="9.1796875" style="301"/>
    <col min="204" max="204" width="2.453125" style="301" customWidth="1"/>
    <col min="205" max="205" width="10.1796875" style="301" bestFit="1" customWidth="1"/>
    <col min="206" max="207" width="9.1796875" style="301"/>
    <col min="208" max="208" width="13.26953125" style="301" customWidth="1"/>
    <col min="209" max="209" width="1.81640625" style="301" customWidth="1"/>
    <col min="210" max="210" width="2" style="301" customWidth="1"/>
    <col min="211" max="211" width="17.26953125" style="301" customWidth="1"/>
    <col min="212" max="212" width="9.1796875" style="301"/>
    <col min="213" max="213" width="16.54296875" style="301" customWidth="1"/>
    <col min="214" max="214" width="14.26953125" style="301" bestFit="1" customWidth="1"/>
    <col min="215" max="215" width="9.1796875" style="301"/>
    <col min="216" max="216" width="2.453125" style="301" customWidth="1"/>
    <col min="217" max="217" width="10.1796875" style="301" bestFit="1" customWidth="1"/>
    <col min="218" max="219" width="9.1796875" style="301"/>
    <col min="220" max="220" width="13.26953125" style="301" customWidth="1"/>
    <col min="221" max="221" width="1.81640625" style="301" customWidth="1"/>
    <col min="222" max="222" width="2" style="301" customWidth="1"/>
    <col min="223" max="223" width="17.26953125" style="301" customWidth="1"/>
    <col min="224" max="224" width="10.7265625" style="301" customWidth="1"/>
    <col min="225" max="225" width="16.54296875" style="301" customWidth="1"/>
    <col min="226" max="226" width="14.26953125" style="301" bestFit="1" customWidth="1"/>
    <col min="227" max="227" width="9.1796875" style="301"/>
    <col min="228" max="228" width="2.453125" style="301" customWidth="1"/>
    <col min="229" max="229" width="10.1796875" style="301" bestFit="1" customWidth="1"/>
    <col min="230" max="231" width="9.1796875" style="301"/>
    <col min="232" max="232" width="13.26953125" style="301" customWidth="1"/>
    <col min="233" max="233" width="1.81640625" style="301" customWidth="1"/>
    <col min="234" max="234" width="2" style="301" customWidth="1"/>
    <col min="235" max="235" width="17.26953125" style="301" customWidth="1"/>
    <col min="236" max="236" width="11" style="301" customWidth="1"/>
    <col min="237" max="237" width="16.54296875" style="301" customWidth="1"/>
    <col min="238" max="238" width="14.26953125" style="301" bestFit="1" customWidth="1"/>
    <col min="239" max="239" width="9.1796875" style="301"/>
    <col min="240" max="240" width="2.453125" style="301" customWidth="1"/>
    <col min="241" max="241" width="10.1796875" style="301" bestFit="1" customWidth="1"/>
    <col min="242" max="16384" width="9.1796875" style="301"/>
  </cols>
  <sheetData>
    <row r="5" spans="3:240">
      <c r="F5" s="735" t="s">
        <v>292</v>
      </c>
      <c r="G5" s="735"/>
      <c r="H5" s="735"/>
      <c r="I5" s="735"/>
      <c r="J5" s="735"/>
      <c r="K5" s="735"/>
      <c r="R5" s="735" t="s">
        <v>292</v>
      </c>
      <c r="S5" s="735"/>
      <c r="T5" s="735"/>
      <c r="U5" s="735"/>
      <c r="V5" s="735"/>
      <c r="W5" s="735"/>
      <c r="AD5" s="735" t="s">
        <v>292</v>
      </c>
      <c r="AE5" s="735"/>
      <c r="AF5" s="735"/>
      <c r="AG5" s="735"/>
      <c r="AH5" s="735"/>
      <c r="AI5" s="735"/>
      <c r="AP5" s="735" t="s">
        <v>292</v>
      </c>
      <c r="AQ5" s="735"/>
      <c r="AR5" s="735"/>
      <c r="AS5" s="735"/>
      <c r="AT5" s="735"/>
      <c r="AU5" s="735"/>
      <c r="BB5" s="735" t="s">
        <v>292</v>
      </c>
      <c r="BC5" s="735"/>
      <c r="BD5" s="735"/>
      <c r="BE5" s="735"/>
      <c r="BF5" s="735"/>
      <c r="BG5" s="735"/>
      <c r="BN5" s="735" t="s">
        <v>292</v>
      </c>
      <c r="BO5" s="735"/>
      <c r="BP5" s="735"/>
      <c r="BQ5" s="735"/>
      <c r="BR5" s="735"/>
      <c r="BS5" s="735"/>
      <c r="BZ5" s="735" t="s">
        <v>292</v>
      </c>
      <c r="CA5" s="735"/>
      <c r="CB5" s="735"/>
      <c r="CC5" s="735"/>
      <c r="CD5" s="735"/>
      <c r="CE5" s="735"/>
      <c r="CL5" s="735" t="s">
        <v>292</v>
      </c>
      <c r="CM5" s="735"/>
      <c r="CN5" s="735"/>
      <c r="CO5" s="735"/>
      <c r="CP5" s="735"/>
      <c r="CQ5" s="735"/>
      <c r="CX5" s="735" t="s">
        <v>292</v>
      </c>
      <c r="CY5" s="735"/>
      <c r="CZ5" s="735"/>
      <c r="DA5" s="735"/>
      <c r="DB5" s="735"/>
      <c r="DC5" s="735"/>
      <c r="DJ5" s="735" t="s">
        <v>292</v>
      </c>
      <c r="DK5" s="735"/>
      <c r="DL5" s="735"/>
      <c r="DM5" s="735"/>
      <c r="DN5" s="735"/>
      <c r="DO5" s="735"/>
      <c r="DV5" s="735" t="s">
        <v>292</v>
      </c>
      <c r="DW5" s="735"/>
      <c r="DX5" s="735"/>
      <c r="DY5" s="735"/>
      <c r="DZ5" s="735"/>
      <c r="EA5" s="735"/>
      <c r="EH5" s="735" t="s">
        <v>292</v>
      </c>
      <c r="EI5" s="735"/>
      <c r="EJ5" s="735"/>
      <c r="EK5" s="735"/>
      <c r="EL5" s="735"/>
      <c r="EM5" s="735"/>
      <c r="EU5" s="735" t="s">
        <v>292</v>
      </c>
      <c r="EV5" s="735"/>
      <c r="EW5" s="735"/>
      <c r="EX5" s="735"/>
      <c r="EY5" s="735"/>
      <c r="EZ5" s="735"/>
      <c r="FG5" s="735" t="s">
        <v>292</v>
      </c>
      <c r="FH5" s="735"/>
      <c r="FI5" s="735"/>
      <c r="FJ5" s="735"/>
      <c r="FK5" s="735"/>
      <c r="FL5" s="735"/>
      <c r="FS5" s="735" t="s">
        <v>292</v>
      </c>
      <c r="FT5" s="735"/>
      <c r="FU5" s="735"/>
      <c r="FV5" s="735"/>
      <c r="FW5" s="735"/>
      <c r="FX5" s="735"/>
      <c r="GE5" s="735" t="s">
        <v>292</v>
      </c>
      <c r="GF5" s="735"/>
      <c r="GG5" s="735"/>
      <c r="GH5" s="735"/>
      <c r="GI5" s="735"/>
      <c r="GJ5" s="735"/>
      <c r="GQ5" s="735" t="s">
        <v>292</v>
      </c>
      <c r="GR5" s="735"/>
      <c r="GS5" s="735"/>
      <c r="GT5" s="735"/>
      <c r="GU5" s="735"/>
      <c r="GV5" s="735"/>
      <c r="HC5" s="735" t="s">
        <v>292</v>
      </c>
      <c r="HD5" s="735"/>
      <c r="HE5" s="735"/>
      <c r="HF5" s="735"/>
      <c r="HG5" s="735"/>
      <c r="HH5" s="735"/>
      <c r="HO5" s="735" t="s">
        <v>292</v>
      </c>
      <c r="HP5" s="735"/>
      <c r="HQ5" s="735"/>
      <c r="HR5" s="735"/>
      <c r="HS5" s="735"/>
      <c r="HT5" s="735"/>
      <c r="IA5" s="735" t="s">
        <v>292</v>
      </c>
      <c r="IB5" s="735"/>
      <c r="IC5" s="735"/>
      <c r="ID5" s="735"/>
      <c r="IE5" s="735"/>
      <c r="IF5" s="735"/>
    </row>
    <row r="6" spans="3:240" ht="14.5" thickBot="1">
      <c r="F6" s="736"/>
      <c r="G6" s="736"/>
      <c r="H6" s="736"/>
      <c r="I6" s="736"/>
      <c r="J6" s="736"/>
      <c r="K6" s="736"/>
      <c r="R6" s="736"/>
      <c r="S6" s="736"/>
      <c r="T6" s="736"/>
      <c r="U6" s="736"/>
      <c r="V6" s="736"/>
      <c r="W6" s="736"/>
      <c r="AD6" s="736"/>
      <c r="AE6" s="736"/>
      <c r="AF6" s="736"/>
      <c r="AG6" s="736"/>
      <c r="AH6" s="736"/>
      <c r="AI6" s="736"/>
      <c r="AP6" s="736"/>
      <c r="AQ6" s="736"/>
      <c r="AR6" s="736"/>
      <c r="AS6" s="736"/>
      <c r="AT6" s="736"/>
      <c r="AU6" s="736"/>
      <c r="BB6" s="736"/>
      <c r="BC6" s="736"/>
      <c r="BD6" s="736"/>
      <c r="BE6" s="736"/>
      <c r="BF6" s="736"/>
      <c r="BG6" s="736"/>
      <c r="BN6" s="736"/>
      <c r="BO6" s="736"/>
      <c r="BP6" s="736"/>
      <c r="BQ6" s="736"/>
      <c r="BR6" s="736"/>
      <c r="BS6" s="736"/>
      <c r="BZ6" s="736"/>
      <c r="CA6" s="736"/>
      <c r="CB6" s="736"/>
      <c r="CC6" s="736"/>
      <c r="CD6" s="736"/>
      <c r="CE6" s="736"/>
      <c r="CL6" s="736"/>
      <c r="CM6" s="736"/>
      <c r="CN6" s="736"/>
      <c r="CO6" s="736"/>
      <c r="CP6" s="736"/>
      <c r="CQ6" s="736"/>
      <c r="CX6" s="736"/>
      <c r="CY6" s="736"/>
      <c r="CZ6" s="736"/>
      <c r="DA6" s="736"/>
      <c r="DB6" s="736"/>
      <c r="DC6" s="736"/>
      <c r="DJ6" s="736"/>
      <c r="DK6" s="736"/>
      <c r="DL6" s="736"/>
      <c r="DM6" s="736"/>
      <c r="DN6" s="736"/>
      <c r="DO6" s="736"/>
      <c r="DV6" s="736"/>
      <c r="DW6" s="736"/>
      <c r="DX6" s="736"/>
      <c r="DY6" s="736"/>
      <c r="DZ6" s="736"/>
      <c r="EA6" s="736"/>
      <c r="EH6" s="736"/>
      <c r="EI6" s="736"/>
      <c r="EJ6" s="736"/>
      <c r="EK6" s="736"/>
      <c r="EL6" s="736"/>
      <c r="EM6" s="736"/>
      <c r="EU6" s="736"/>
      <c r="EV6" s="736"/>
      <c r="EW6" s="736"/>
      <c r="EX6" s="736"/>
      <c r="EY6" s="736"/>
      <c r="EZ6" s="736"/>
      <c r="FG6" s="736"/>
      <c r="FH6" s="736"/>
      <c r="FI6" s="736"/>
      <c r="FJ6" s="736"/>
      <c r="FK6" s="736"/>
      <c r="FL6" s="736"/>
      <c r="FS6" s="736"/>
      <c r="FT6" s="736"/>
      <c r="FU6" s="736"/>
      <c r="FV6" s="736"/>
      <c r="FW6" s="736"/>
      <c r="FX6" s="736"/>
      <c r="GE6" s="736"/>
      <c r="GF6" s="736"/>
      <c r="GG6" s="736"/>
      <c r="GH6" s="736"/>
      <c r="GI6" s="736"/>
      <c r="GJ6" s="736"/>
      <c r="GQ6" s="736"/>
      <c r="GR6" s="736"/>
      <c r="GS6" s="736"/>
      <c r="GT6" s="736"/>
      <c r="GU6" s="736"/>
      <c r="GV6" s="736"/>
      <c r="HC6" s="736"/>
      <c r="HD6" s="736"/>
      <c r="HE6" s="736"/>
      <c r="HF6" s="736"/>
      <c r="HG6" s="736"/>
      <c r="HH6" s="736"/>
      <c r="HO6" s="736"/>
      <c r="HP6" s="736"/>
      <c r="HQ6" s="736"/>
      <c r="HR6" s="736"/>
      <c r="HS6" s="736"/>
      <c r="HT6" s="736"/>
      <c r="IA6" s="736"/>
      <c r="IB6" s="736"/>
      <c r="IC6" s="736"/>
      <c r="ID6" s="736"/>
      <c r="IE6" s="736"/>
      <c r="IF6" s="736"/>
    </row>
    <row r="7" spans="3:240" ht="14.5" thickTop="1"/>
    <row r="9" spans="3:240">
      <c r="I9" s="308">
        <f ca="1">NOW()</f>
        <v>46084.282846759263</v>
      </c>
      <c r="U9" s="308">
        <f ca="1">NOW()</f>
        <v>46084.282846759263</v>
      </c>
      <c r="AG9" s="308">
        <f ca="1">NOW()</f>
        <v>46084.282846759263</v>
      </c>
      <c r="AS9" s="308">
        <f ca="1">NOW()</f>
        <v>46084.282846759263</v>
      </c>
      <c r="BE9" s="308">
        <f ca="1">NOW()</f>
        <v>46084.282846759263</v>
      </c>
      <c r="BQ9" s="308">
        <f ca="1">NOW()</f>
        <v>46084.282846759263</v>
      </c>
      <c r="CC9" s="308">
        <f ca="1">NOW()</f>
        <v>46084.282846759263</v>
      </c>
      <c r="CO9" s="308">
        <f ca="1">NOW()</f>
        <v>46084.282846759263</v>
      </c>
      <c r="DA9" s="308">
        <f ca="1">NOW()</f>
        <v>46084.282846759263</v>
      </c>
      <c r="DM9" s="308">
        <f ca="1">NOW()</f>
        <v>46084.282846759263</v>
      </c>
      <c r="DY9" s="308">
        <f ca="1">NOW()</f>
        <v>46084.282846759263</v>
      </c>
      <c r="EK9" s="308">
        <f ca="1">NOW()</f>
        <v>46084.282846759263</v>
      </c>
      <c r="EX9" s="308">
        <f ca="1">NOW()</f>
        <v>46084.282846759263</v>
      </c>
      <c r="FJ9" s="308">
        <f ca="1">NOW()</f>
        <v>46084.282846759263</v>
      </c>
      <c r="FV9" s="308">
        <f ca="1">NOW()</f>
        <v>46084.282846759263</v>
      </c>
      <c r="GH9" s="308">
        <f ca="1">NOW()</f>
        <v>46084.282846759263</v>
      </c>
      <c r="GT9" s="308">
        <f ca="1">NOW()</f>
        <v>46084.282846759263</v>
      </c>
      <c r="HF9" s="308">
        <f ca="1">NOW()</f>
        <v>46084.282846759263</v>
      </c>
      <c r="HR9" s="308">
        <f ca="1">NOW()</f>
        <v>46084.282846759263</v>
      </c>
      <c r="ID9" s="308">
        <f ca="1">NOW()</f>
        <v>46084.282846759263</v>
      </c>
    </row>
    <row r="13" spans="3:240" ht="15">
      <c r="C13" s="305" t="str">
        <f>CONCATENATE('INPUT FIELDS'!D8," ",'INPUT FIELDS'!D9," ",'INPUT FIELDS'!D7)</f>
        <v>MARIA EMY TAN RABADAM</v>
      </c>
      <c r="O13" s="305" t="str">
        <f>CONCATENATE('INPUT FIELDS'!AV8," ",'INPUT FIELDS'!AV9," ",'INPUT FIELDS'!AV7)</f>
        <v>ALLAN GULFERIC LEJAS</v>
      </c>
      <c r="AA13" s="305" t="str">
        <f>CONCATENATE('INPUT FIELDS'!AX8," ",'INPUT FIELDS'!AX9," ",'INPUT FIELDS'!AX7)</f>
        <v>JOSE JR ADESAS NUNEZ</v>
      </c>
      <c r="AM13" s="305" t="str">
        <f>CONCATENATE('INPUT FIELDS'!AZ8," ",'INPUT FIELDS'!AZ9," ",'INPUT FIELDS'!AZ7)</f>
        <v>NESTOR PELENO LIMA</v>
      </c>
      <c r="AY13" s="305" t="str">
        <f>CONCATENATE('INPUT FIELDS'!BB8," ",'INPUT FIELDS'!BB9," ",'INPUT FIELDS'!BB7)</f>
        <v>MARCIANO JR HERNANDEZ ALEGRIA</v>
      </c>
      <c r="BK13" s="305" t="str">
        <f>CONCATENATE('INPUT FIELDS'!BD8," ",'INPUT FIELDS'!BD9," ",'INPUT FIELDS'!BD7)</f>
        <v>MANOLITO ABARRACOSO GACELOS</v>
      </c>
      <c r="BW13" s="305" t="str">
        <f>CONCATENATE('INPUT FIELDS'!BF8," ",'INPUT FIELDS'!BF9," ",'INPUT FIELDS'!BF7)</f>
        <v>LEONILA HILONGO GONZALES</v>
      </c>
      <c r="CI13" s="305" t="str">
        <f>CONCATENATE('INPUT FIELDS'!BH8," ",'INPUT FIELDS'!BH9," ",'INPUT FIELDS'!BH7)</f>
        <v>CHONA BRANZUELA MAYOR</v>
      </c>
      <c r="CU13" s="305" t="str">
        <f>CONCATENATE('INPUT FIELDS'!BJ8," ",'INPUT FIELDS'!BJ9," ",'INPUT FIELDS'!BJ7)</f>
        <v>JONAS ABELIDO YBOA</v>
      </c>
      <c r="DG13" s="305" t="str">
        <f>CONCATENATE('INPUT FIELDS'!BL8," ",'INPUT FIELDS'!BL9," ",'INPUT FIELDS'!BL7)</f>
        <v>RUBIA ABARCAR GONZALES</v>
      </c>
      <c r="DS13" s="305" t="str">
        <f>CONCATENATE('INPUT FIELDS'!BN8," ",'INPUT FIELDS'!BN9," ",'INPUT FIELDS'!BN7)</f>
        <v>DOMINGO JR JADLOC ARCALES</v>
      </c>
      <c r="EE13" s="305" t="str">
        <f>CONCATENATE('INPUT FIELDS'!BP8," ",'INPUT FIELDS'!BP9," ",'INPUT FIELDS'!BP7)</f>
        <v>REBECCA TILLES GACELOS</v>
      </c>
      <c r="ER13" s="305" t="str">
        <f>CONCATENATE('INPUT FIELDS'!BR8," ",'INPUT FIELDS'!BR9," ",'INPUT FIELDS'!BR7)</f>
        <v>NARCISA  CAMUIN TONELETE</v>
      </c>
      <c r="FD13" s="305" t="str">
        <f>CONCATENATE('INPUT FIELDS'!BT8," ",'INPUT FIELDS'!BT9," ",'INPUT FIELDS'!BT7)</f>
        <v>MA WINONA CON UI GABON</v>
      </c>
      <c r="FP13" s="305" t="str">
        <f>CONCATENATE('INPUT FIELDS'!BV8," ",'INPUT FIELDS'!BV9," ",'INPUT FIELDS'!BV7)</f>
        <v xml:space="preserve">  </v>
      </c>
      <c r="GB13" s="305" t="str">
        <f>CONCATENATE('INPUT FIELDS'!BX8," ",'INPUT FIELDS'!BX9," ",'INPUT FIELDS'!BX7)</f>
        <v xml:space="preserve">  </v>
      </c>
      <c r="GN13" s="305" t="str">
        <f>CONCATENATE('INPUT FIELDS'!BZ8," ",'INPUT FIELDS'!BZ9," ",'INPUT FIELDS'!BZ7)</f>
        <v xml:space="preserve">  </v>
      </c>
      <c r="GZ13" s="305" t="str">
        <f>CONCATENATE('INPUT FIELDS'!CB8," ",'INPUT FIELDS'!CB9," ",'INPUT FIELDS'!CB7)</f>
        <v xml:space="preserve">  </v>
      </c>
      <c r="HL13" s="305" t="str">
        <f>CONCATENATE('INPUT FIELDS'!CD8," ",'INPUT FIELDS'!CD9," ",'INPUT FIELDS'!CD7)</f>
        <v xml:space="preserve">  </v>
      </c>
      <c r="HX13" s="305" t="str">
        <f>CONCATENATE('INPUT FIELDS'!CF8," ",'INPUT FIELDS'!CF9," ",'INPUT FIELDS'!CF7)</f>
        <v xml:space="preserve">  </v>
      </c>
    </row>
    <row r="14" spans="3:240">
      <c r="C14" s="301" t="str">
        <f>'INPUT FIELDS'!D11</f>
        <v>202 CURRY AVENUE CATBALOGAN CITY SAMAR</v>
      </c>
      <c r="O14" s="301" t="str">
        <f>'INPUT FIELDS'!AV11</f>
        <v>PUROK 1 BRGY CANLAPWAS CATBALOGAN CITY SAMAR</v>
      </c>
      <c r="AA14" s="301" t="str">
        <f>'INPUT FIELDS'!AX11</f>
        <v>352 RIZAL AVENUE BRGY 12 CATBALOGAN CITY SAMAR</v>
      </c>
      <c r="AM14" s="301" t="str">
        <f>'INPUT FIELDS'!AZ11</f>
        <v>PATONG STREET BRGY GUINSORONGAN CATBALOGAN CITY</v>
      </c>
      <c r="AY14" s="301" t="str">
        <f>'INPUT FIELDS'!BB11</f>
        <v>P2 BRGY JIA AN JIABONG SAMAR</v>
      </c>
      <c r="BK14" s="301" t="str">
        <f>'INPUT FIELDS'!BD11</f>
        <v>BRGY RAWIS HINABANGAN SAMAR</v>
      </c>
      <c r="BW14" s="301" t="str">
        <f>'INPUT FIELDS'!BF11</f>
        <v>BRGY SAN JOSE ALMAGRO WESTERN SAMAR</v>
      </c>
      <c r="CI14" s="301" t="str">
        <f>'INPUT FIELDS'!BH11</f>
        <v>BRGY PANJOBJOBAN ALMAGRO SAMAR</v>
      </c>
      <c r="CU14" s="301" t="str">
        <f>'INPUT FIELDS'!BJ11</f>
        <v>5TH ST COR BANOYO ST BRGY 10 CATBALOGAN CITY SAMAR</v>
      </c>
      <c r="DG14" s="301" t="str">
        <f>'INPUT FIELDS'!BL11</f>
        <v>NO 20 B 2 LOT 8  BLISS CANLAPWAS CATBALOGAN CITY</v>
      </c>
      <c r="DS14" s="301" t="str">
        <f>'INPUT FIELDS'!BN11</f>
        <v>491 PUROK 3 BRGY MERCEDES CATBALOGAN CITY</v>
      </c>
      <c r="EE14" s="301" t="str">
        <f>'INPUT FIELDS'!BP11</f>
        <v>117 P 2 BRGY MAULONG CATBALOGAN CITY SAMAR</v>
      </c>
      <c r="ER14" s="301" t="str">
        <f>'INPUT FIELDS'!BR11</f>
        <v>270 BRGY MAULONG CATBALOGAN CITY SAMAR</v>
      </c>
      <c r="FD14" s="301" t="str">
        <f>'INPUT FIELDS'!BT11</f>
        <v>451 GABON BLVD BRGY 3 PARANAS WRIGHT SAMAR</v>
      </c>
      <c r="FP14" s="301">
        <f>'INPUT FIELDS'!BV11</f>
        <v>0</v>
      </c>
      <c r="GB14" s="301">
        <f>'INPUT FIELDS'!BX11</f>
        <v>0</v>
      </c>
      <c r="GN14" s="301">
        <f>'INPUT FIELDS'!BZ11</f>
        <v>0</v>
      </c>
      <c r="GZ14" s="301">
        <f>'INPUT FIELDS'!CB11</f>
        <v>0</v>
      </c>
      <c r="HL14" s="301">
        <f>'INPUT FIELDS'!CD11</f>
        <v>0</v>
      </c>
      <c r="HX14" s="301">
        <f>'INPUT FIELDS'!CF11</f>
        <v>0</v>
      </c>
    </row>
    <row r="15" spans="3:240">
      <c r="C15" s="301" t="str">
        <f>CONCATENATE("C/O : LGU ", 'COMPUTATION SHEET'!F5)</f>
        <v>C/O : LGU PROVINCE OF SAMAR</v>
      </c>
      <c r="O15" s="301" t="str">
        <f>C15</f>
        <v>C/O : LGU PROVINCE OF SAMAR</v>
      </c>
      <c r="AA15" s="301" t="str">
        <f>O15</f>
        <v>C/O : LGU PROVINCE OF SAMAR</v>
      </c>
      <c r="AM15" s="301" t="str">
        <f>AA15</f>
        <v>C/O : LGU PROVINCE OF SAMAR</v>
      </c>
      <c r="AY15" s="301" t="str">
        <f>AM15</f>
        <v>C/O : LGU PROVINCE OF SAMAR</v>
      </c>
      <c r="BK15" s="301" t="str">
        <f>AY15</f>
        <v>C/O : LGU PROVINCE OF SAMAR</v>
      </c>
      <c r="BW15" s="301" t="str">
        <f>BK15</f>
        <v>C/O : LGU PROVINCE OF SAMAR</v>
      </c>
      <c r="CI15" s="301" t="str">
        <f>BW15</f>
        <v>C/O : LGU PROVINCE OF SAMAR</v>
      </c>
      <c r="CU15" s="301" t="str">
        <f>CI15</f>
        <v>C/O : LGU PROVINCE OF SAMAR</v>
      </c>
      <c r="DG15" s="301" t="str">
        <f>CU15</f>
        <v>C/O : LGU PROVINCE OF SAMAR</v>
      </c>
      <c r="DS15" s="301" t="str">
        <f>DG15</f>
        <v>C/O : LGU PROVINCE OF SAMAR</v>
      </c>
      <c r="EE15" s="301" t="str">
        <f>DS15</f>
        <v>C/O : LGU PROVINCE OF SAMAR</v>
      </c>
      <c r="ER15" s="301" t="str">
        <f>EE15</f>
        <v>C/O : LGU PROVINCE OF SAMAR</v>
      </c>
      <c r="FD15" s="301" t="str">
        <f>ER15</f>
        <v>C/O : LGU PROVINCE OF SAMAR</v>
      </c>
      <c r="FP15" s="301" t="str">
        <f>FD15</f>
        <v>C/O : LGU PROVINCE OF SAMAR</v>
      </c>
      <c r="GB15" s="301" t="str">
        <f>FP15</f>
        <v>C/O : LGU PROVINCE OF SAMAR</v>
      </c>
      <c r="GN15" s="301" t="str">
        <f>GB15</f>
        <v>C/O : LGU PROVINCE OF SAMAR</v>
      </c>
      <c r="GZ15" s="301" t="str">
        <f>GN15</f>
        <v>C/O : LGU PROVINCE OF SAMAR</v>
      </c>
      <c r="HL15" s="301" t="str">
        <f>GZ15</f>
        <v>C/O : LGU PROVINCE OF SAMAR</v>
      </c>
      <c r="HX15" s="301" t="str">
        <f>HL15</f>
        <v>C/O : LGU PROVINCE OF SAMAR</v>
      </c>
    </row>
    <row r="18" spans="3:242">
      <c r="C18" s="301" t="s">
        <v>277</v>
      </c>
      <c r="D18" s="300" t="str">
        <f>CONCATENATE(PROPER('INPUT FIELDS'!D7),":")</f>
        <v>Rabadam:</v>
      </c>
      <c r="O18" s="301" t="s">
        <v>277</v>
      </c>
      <c r="P18" s="300" t="str">
        <f>CONCATENATE(PROPER('INPUT FIELDS'!AV7),":")</f>
        <v>Lejas:</v>
      </c>
      <c r="AA18" s="301" t="s">
        <v>277</v>
      </c>
      <c r="AB18" s="300" t="str">
        <f>CONCATENATE(PROPER('INPUT FIELDS'!AX7),":")</f>
        <v>Nunez:</v>
      </c>
      <c r="AM18" s="301" t="s">
        <v>277</v>
      </c>
      <c r="AN18" s="300" t="str">
        <f>CONCATENATE(PROPER('INPUT FIELDS'!AZ7),":")</f>
        <v>Lima:</v>
      </c>
      <c r="AY18" s="301" t="s">
        <v>277</v>
      </c>
      <c r="AZ18" s="300" t="str">
        <f>CONCATENATE(PROPER('INPUT FIELDS'!BB7),":")</f>
        <v>Alegria:</v>
      </c>
      <c r="BK18" s="301" t="s">
        <v>277</v>
      </c>
      <c r="BL18" s="300" t="str">
        <f>CONCATENATE(PROPER('INPUT FIELDS'!BD7),":")</f>
        <v>Gacelos:</v>
      </c>
      <c r="BW18" s="301" t="s">
        <v>277</v>
      </c>
      <c r="BX18" s="300" t="str">
        <f>CONCATENATE(PROPER('INPUT FIELDS'!BF7),":")</f>
        <v>Gonzales:</v>
      </c>
      <c r="CI18" s="301" t="s">
        <v>277</v>
      </c>
      <c r="CJ18" s="300" t="str">
        <f>CONCATENATE(PROPER('INPUT FIELDS'!BH7),":")</f>
        <v>Mayor:</v>
      </c>
      <c r="CU18" s="301" t="s">
        <v>277</v>
      </c>
      <c r="CV18" s="300" t="str">
        <f>CONCATENATE(PROPER('INPUT FIELDS'!BJ7),":")</f>
        <v>Yboa:</v>
      </c>
      <c r="DG18" s="301" t="s">
        <v>277</v>
      </c>
      <c r="DH18" s="300" t="str">
        <f>CONCATENATE(PROPER('INPUT FIELDS'!BL7),":")</f>
        <v>Gonzales:</v>
      </c>
      <c r="DS18" s="301" t="s">
        <v>277</v>
      </c>
      <c r="DT18" s="300" t="str">
        <f>CONCATENATE(PROPER('INPUT FIELDS'!BN7),":")</f>
        <v>Arcales:</v>
      </c>
      <c r="EE18" s="301" t="s">
        <v>277</v>
      </c>
      <c r="EF18" s="300" t="str">
        <f>CONCATENATE(PROPER('INPUT FIELDS'!BP7),":")</f>
        <v>Gacelos:</v>
      </c>
      <c r="ER18" s="301" t="s">
        <v>277</v>
      </c>
      <c r="ES18" s="300" t="str">
        <f>CONCATENATE(PROPER('INPUT FIELDS'!BR7),":")</f>
        <v>Tonelete:</v>
      </c>
      <c r="FD18" s="301" t="s">
        <v>277</v>
      </c>
      <c r="FE18" s="300" t="str">
        <f>CONCATENATE(PROPER('INPUT FIELDS'!BT7),":")</f>
        <v>Gabon:</v>
      </c>
      <c r="FP18" s="301" t="s">
        <v>277</v>
      </c>
      <c r="FQ18" s="300" t="str">
        <f>CONCATENATE(PROPER('INPUT FIELDS'!BV7),":")</f>
        <v>:</v>
      </c>
      <c r="GB18" s="301" t="s">
        <v>277</v>
      </c>
      <c r="GC18" s="300" t="str">
        <f>CONCATENATE(PROPER('INPUT FIELDS'!BX7),":")</f>
        <v>:</v>
      </c>
      <c r="GN18" s="301" t="s">
        <v>277</v>
      </c>
      <c r="GO18" s="300" t="str">
        <f>CONCATENATE(PROPER('INPUT FIELDS'!BZ7),":")</f>
        <v>:</v>
      </c>
      <c r="GZ18" s="301" t="s">
        <v>277</v>
      </c>
      <c r="HA18" s="300" t="str">
        <f>CONCATENATE(PROPER('INPUT FIELDS'!CB7),":")</f>
        <v>:</v>
      </c>
      <c r="HL18" s="301" t="s">
        <v>277</v>
      </c>
      <c r="HM18" s="300" t="str">
        <f>CONCATENATE(PROPER('INPUT FIELDS'!CD7),":")</f>
        <v>:</v>
      </c>
      <c r="HX18" s="301" t="s">
        <v>277</v>
      </c>
      <c r="HY18" s="300" t="str">
        <f>CONCATENATE(PROPER('INPUT FIELDS'!CF7),":")</f>
        <v>:</v>
      </c>
    </row>
    <row r="19" spans="3:242">
      <c r="D19" s="300"/>
      <c r="P19" s="300"/>
      <c r="AB19" s="300"/>
      <c r="AN19" s="300"/>
      <c r="AZ19" s="300"/>
      <c r="BL19" s="300"/>
      <c r="BX19" s="300"/>
      <c r="CJ19" s="300"/>
      <c r="CV19" s="300"/>
      <c r="DH19" s="300"/>
      <c r="DT19" s="300"/>
      <c r="EF19" s="300"/>
      <c r="ES19" s="300"/>
      <c r="FE19" s="300"/>
      <c r="FQ19" s="300"/>
      <c r="GC19" s="300"/>
      <c r="GO19" s="300"/>
      <c r="HA19" s="300"/>
      <c r="HM19" s="300"/>
      <c r="HY19" s="300"/>
    </row>
    <row r="21" spans="3:242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  <c r="O21" s="301" t="s">
        <v>290</v>
      </c>
      <c r="P21" s="304"/>
      <c r="Q21" s="304"/>
      <c r="R21" s="304"/>
      <c r="S21" s="304"/>
      <c r="T21" s="304"/>
      <c r="U21" s="304"/>
      <c r="V21" s="304"/>
      <c r="W21" s="306"/>
      <c r="X21" s="307"/>
      <c r="Y21" s="304"/>
      <c r="AA21" s="301" t="s">
        <v>290</v>
      </c>
      <c r="AB21" s="304"/>
      <c r="AC21" s="304"/>
      <c r="AD21" s="304"/>
      <c r="AE21" s="304"/>
      <c r="AF21" s="304"/>
      <c r="AG21" s="304"/>
      <c r="AH21" s="304"/>
      <c r="AI21" s="306"/>
      <c r="AJ21" s="307"/>
      <c r="AK21" s="304"/>
      <c r="AM21" s="301" t="s">
        <v>290</v>
      </c>
      <c r="AN21" s="304"/>
      <c r="AO21" s="304"/>
      <c r="AP21" s="304"/>
      <c r="AQ21" s="304"/>
      <c r="AR21" s="304"/>
      <c r="AS21" s="304"/>
      <c r="AT21" s="304"/>
      <c r="AU21" s="306"/>
      <c r="AV21" s="307"/>
      <c r="AW21" s="304"/>
      <c r="AY21" s="301" t="s">
        <v>290</v>
      </c>
      <c r="AZ21" s="304"/>
      <c r="BA21" s="304"/>
      <c r="BB21" s="304"/>
      <c r="BC21" s="304"/>
      <c r="BD21" s="304"/>
      <c r="BE21" s="304"/>
      <c r="BF21" s="304"/>
      <c r="BG21" s="306"/>
      <c r="BH21" s="307"/>
      <c r="BI21" s="304"/>
      <c r="BK21" s="301" t="s">
        <v>290</v>
      </c>
      <c r="BL21" s="304"/>
      <c r="BM21" s="304"/>
      <c r="BN21" s="304"/>
      <c r="BO21" s="304"/>
      <c r="BP21" s="304"/>
      <c r="BQ21" s="304"/>
      <c r="BR21" s="304"/>
      <c r="BS21" s="306"/>
      <c r="BT21" s="307"/>
      <c r="BU21" s="304"/>
      <c r="BW21" s="301" t="s">
        <v>290</v>
      </c>
      <c r="BX21" s="304"/>
      <c r="BY21" s="304"/>
      <c r="BZ21" s="304"/>
      <c r="CA21" s="304"/>
      <c r="CB21" s="304"/>
      <c r="CC21" s="304"/>
      <c r="CD21" s="304"/>
      <c r="CE21" s="306"/>
      <c r="CF21" s="307"/>
      <c r="CG21" s="304"/>
      <c r="CI21" s="301" t="s">
        <v>290</v>
      </c>
      <c r="CJ21" s="304"/>
      <c r="CK21" s="304"/>
      <c r="CL21" s="304"/>
      <c r="CM21" s="304"/>
      <c r="CN21" s="304"/>
      <c r="CO21" s="304"/>
      <c r="CP21" s="304"/>
      <c r="CQ21" s="306"/>
      <c r="CR21" s="307"/>
      <c r="CS21" s="304"/>
      <c r="CU21" s="301" t="s">
        <v>290</v>
      </c>
      <c r="CV21" s="304"/>
      <c r="CW21" s="304"/>
      <c r="CX21" s="304"/>
      <c r="CY21" s="304"/>
      <c r="CZ21" s="304"/>
      <c r="DA21" s="304"/>
      <c r="DB21" s="304"/>
      <c r="DC21" s="306"/>
      <c r="DD21" s="307"/>
      <c r="DE21" s="304"/>
      <c r="DG21" s="301" t="s">
        <v>290</v>
      </c>
      <c r="DH21" s="304"/>
      <c r="DI21" s="304"/>
      <c r="DJ21" s="304"/>
      <c r="DK21" s="304"/>
      <c r="DL21" s="304"/>
      <c r="DM21" s="304"/>
      <c r="DN21" s="304"/>
      <c r="DO21" s="306"/>
      <c r="DP21" s="307"/>
      <c r="DQ21" s="304"/>
      <c r="DS21" s="301" t="s">
        <v>290</v>
      </c>
      <c r="DT21" s="304"/>
      <c r="DU21" s="304"/>
      <c r="DV21" s="304"/>
      <c r="DW21" s="304"/>
      <c r="DX21" s="304"/>
      <c r="DY21" s="304"/>
      <c r="DZ21" s="304"/>
      <c r="EA21" s="306"/>
      <c r="EB21" s="307"/>
      <c r="EC21" s="304"/>
      <c r="EE21" s="301" t="s">
        <v>290</v>
      </c>
      <c r="EF21" s="304"/>
      <c r="EG21" s="304"/>
      <c r="EH21" s="304"/>
      <c r="EI21" s="304"/>
      <c r="EJ21" s="304"/>
      <c r="EK21" s="304"/>
      <c r="EL21" s="304"/>
      <c r="EM21" s="306"/>
      <c r="EN21" s="307"/>
      <c r="EO21" s="304"/>
      <c r="ER21" s="301" t="s">
        <v>290</v>
      </c>
      <c r="ES21" s="304"/>
      <c r="ET21" s="304"/>
      <c r="EU21" s="304"/>
      <c r="EV21" s="304"/>
      <c r="EW21" s="304"/>
      <c r="EX21" s="304"/>
      <c r="EY21" s="304"/>
      <c r="EZ21" s="306"/>
      <c r="FA21" s="307"/>
      <c r="FB21" s="304"/>
      <c r="FD21" s="301" t="s">
        <v>290</v>
      </c>
      <c r="FE21" s="304"/>
      <c r="FF21" s="304"/>
      <c r="FG21" s="304"/>
      <c r="FH21" s="304"/>
      <c r="FI21" s="304"/>
      <c r="FJ21" s="304"/>
      <c r="FK21" s="304"/>
      <c r="FL21" s="306"/>
      <c r="FM21" s="307"/>
      <c r="FN21" s="304"/>
      <c r="FP21" s="301" t="s">
        <v>290</v>
      </c>
      <c r="FQ21" s="304"/>
      <c r="FR21" s="304"/>
      <c r="FS21" s="304"/>
      <c r="FT21" s="304"/>
      <c r="FU21" s="304"/>
      <c r="FV21" s="304"/>
      <c r="FW21" s="304"/>
      <c r="FX21" s="306"/>
      <c r="FY21" s="307"/>
      <c r="FZ21" s="304"/>
      <c r="GB21" s="301" t="s">
        <v>290</v>
      </c>
      <c r="GC21" s="304"/>
      <c r="GD21" s="304"/>
      <c r="GE21" s="304"/>
      <c r="GF21" s="304"/>
      <c r="GG21" s="304"/>
      <c r="GH21" s="304"/>
      <c r="GI21" s="304"/>
      <c r="GJ21" s="306"/>
      <c r="GK21" s="307"/>
      <c r="GL21" s="304"/>
      <c r="GN21" s="301" t="s">
        <v>290</v>
      </c>
      <c r="GO21" s="304"/>
      <c r="GP21" s="304"/>
      <c r="GQ21" s="304"/>
      <c r="GR21" s="304"/>
      <c r="GS21" s="304"/>
      <c r="GT21" s="304"/>
      <c r="GU21" s="304"/>
      <c r="GV21" s="306"/>
      <c r="GW21" s="307"/>
      <c r="GX21" s="304"/>
      <c r="GZ21" s="301" t="s">
        <v>290</v>
      </c>
      <c r="HA21" s="304"/>
      <c r="HB21" s="304"/>
      <c r="HC21" s="304"/>
      <c r="HD21" s="304"/>
      <c r="HE21" s="304"/>
      <c r="HF21" s="304"/>
      <c r="HG21" s="304"/>
      <c r="HH21" s="306"/>
      <c r="HI21" s="307"/>
      <c r="HJ21" s="304"/>
      <c r="HL21" s="301" t="s">
        <v>290</v>
      </c>
      <c r="HM21" s="304"/>
      <c r="HN21" s="304"/>
      <c r="HO21" s="304"/>
      <c r="HP21" s="304"/>
      <c r="HQ21" s="304"/>
      <c r="HR21" s="304"/>
      <c r="HS21" s="304"/>
      <c r="HT21" s="306"/>
      <c r="HU21" s="307"/>
      <c r="HV21" s="304"/>
      <c r="HX21" s="301" t="s">
        <v>290</v>
      </c>
      <c r="HY21" s="304"/>
      <c r="HZ21" s="304"/>
      <c r="IA21" s="304"/>
      <c r="IB21" s="304"/>
      <c r="IC21" s="304"/>
      <c r="ID21" s="304"/>
      <c r="IE21" s="304"/>
      <c r="IF21" s="306"/>
      <c r="IG21" s="307"/>
      <c r="IH21" s="304"/>
    </row>
    <row r="22" spans="3:242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O22" s="302" t="s">
        <v>291</v>
      </c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AA22" s="302" t="s">
        <v>291</v>
      </c>
      <c r="AB22" s="304"/>
      <c r="AC22" s="304"/>
      <c r="AD22" s="304"/>
      <c r="AE22" s="304"/>
      <c r="AF22" s="304"/>
      <c r="AG22" s="304"/>
      <c r="AH22" s="304"/>
      <c r="AI22" s="304"/>
      <c r="AJ22" s="304"/>
      <c r="AK22" s="304"/>
      <c r="AM22" s="302" t="s">
        <v>291</v>
      </c>
      <c r="AN22" s="304"/>
      <c r="AO22" s="304"/>
      <c r="AP22" s="304"/>
      <c r="AQ22" s="304"/>
      <c r="AR22" s="304"/>
      <c r="AS22" s="304"/>
      <c r="AT22" s="304"/>
      <c r="AU22" s="304"/>
      <c r="AV22" s="304"/>
      <c r="AW22" s="304"/>
      <c r="AY22" s="302" t="s">
        <v>291</v>
      </c>
      <c r="AZ22" s="304"/>
      <c r="BA22" s="304"/>
      <c r="BB22" s="304"/>
      <c r="BC22" s="304"/>
      <c r="BD22" s="304"/>
      <c r="BE22" s="304"/>
      <c r="BF22" s="304"/>
      <c r="BG22" s="304"/>
      <c r="BH22" s="304"/>
      <c r="BI22" s="304"/>
      <c r="BK22" s="302" t="s">
        <v>291</v>
      </c>
      <c r="BL22" s="304"/>
      <c r="BM22" s="304"/>
      <c r="BN22" s="304"/>
      <c r="BO22" s="304"/>
      <c r="BP22" s="304"/>
      <c r="BQ22" s="304"/>
      <c r="BR22" s="304"/>
      <c r="BS22" s="304"/>
      <c r="BT22" s="304"/>
      <c r="BU22" s="304"/>
      <c r="BW22" s="302" t="s">
        <v>291</v>
      </c>
      <c r="BX22" s="304"/>
      <c r="BY22" s="304"/>
      <c r="BZ22" s="304"/>
      <c r="CA22" s="304"/>
      <c r="CB22" s="304"/>
      <c r="CC22" s="304"/>
      <c r="CD22" s="304"/>
      <c r="CE22" s="304"/>
      <c r="CF22" s="304"/>
      <c r="CG22" s="304"/>
      <c r="CI22" s="302" t="s">
        <v>291</v>
      </c>
      <c r="CJ22" s="304"/>
      <c r="CK22" s="304"/>
      <c r="CL22" s="304"/>
      <c r="CM22" s="304"/>
      <c r="CN22" s="304"/>
      <c r="CO22" s="304"/>
      <c r="CP22" s="304"/>
      <c r="CQ22" s="304"/>
      <c r="CR22" s="304"/>
      <c r="CS22" s="304"/>
      <c r="CU22" s="302" t="s">
        <v>291</v>
      </c>
      <c r="CV22" s="304"/>
      <c r="CW22" s="304"/>
      <c r="CX22" s="304"/>
      <c r="CY22" s="304"/>
      <c r="CZ22" s="304"/>
      <c r="DA22" s="304"/>
      <c r="DB22" s="304"/>
      <c r="DC22" s="304"/>
      <c r="DD22" s="304"/>
      <c r="DE22" s="304"/>
      <c r="DG22" s="302" t="s">
        <v>291</v>
      </c>
      <c r="DH22" s="304"/>
      <c r="DI22" s="304"/>
      <c r="DJ22" s="304"/>
      <c r="DK22" s="304"/>
      <c r="DL22" s="304"/>
      <c r="DM22" s="304"/>
      <c r="DN22" s="304"/>
      <c r="DO22" s="304"/>
      <c r="DP22" s="304"/>
      <c r="DQ22" s="304"/>
      <c r="DS22" s="302" t="s">
        <v>291</v>
      </c>
      <c r="DT22" s="304"/>
      <c r="DU22" s="304"/>
      <c r="DV22" s="304"/>
      <c r="DW22" s="304"/>
      <c r="DX22" s="304"/>
      <c r="DY22" s="304"/>
      <c r="DZ22" s="304"/>
      <c r="EA22" s="304"/>
      <c r="EB22" s="304"/>
      <c r="EC22" s="304"/>
      <c r="EE22" s="302" t="s">
        <v>291</v>
      </c>
      <c r="EF22" s="304"/>
      <c r="EG22" s="304"/>
      <c r="EH22" s="304"/>
      <c r="EI22" s="304"/>
      <c r="EJ22" s="304"/>
      <c r="EK22" s="304"/>
      <c r="EL22" s="304"/>
      <c r="EM22" s="304"/>
      <c r="EN22" s="304"/>
      <c r="EO22" s="304"/>
      <c r="ER22" s="302" t="s">
        <v>291</v>
      </c>
      <c r="ES22" s="304"/>
      <c r="ET22" s="304"/>
      <c r="EU22" s="304"/>
      <c r="EV22" s="304"/>
      <c r="EW22" s="304"/>
      <c r="EX22" s="304"/>
      <c r="EY22" s="304"/>
      <c r="EZ22" s="304"/>
      <c r="FA22" s="304"/>
      <c r="FB22" s="304"/>
      <c r="FD22" s="302" t="s">
        <v>291</v>
      </c>
      <c r="FE22" s="304"/>
      <c r="FF22" s="304"/>
      <c r="FG22" s="304"/>
      <c r="FH22" s="304"/>
      <c r="FI22" s="304"/>
      <c r="FJ22" s="304"/>
      <c r="FK22" s="304"/>
      <c r="FL22" s="304"/>
      <c r="FM22" s="304"/>
      <c r="FN22" s="304"/>
      <c r="FP22" s="302" t="s">
        <v>291</v>
      </c>
      <c r="FQ22" s="304"/>
      <c r="FR22" s="304"/>
      <c r="FS22" s="304"/>
      <c r="FT22" s="304"/>
      <c r="FU22" s="304"/>
      <c r="FV22" s="304"/>
      <c r="FW22" s="304"/>
      <c r="FX22" s="304"/>
      <c r="FY22" s="304"/>
      <c r="FZ22" s="304"/>
      <c r="GB22" s="302" t="s">
        <v>291</v>
      </c>
      <c r="GC22" s="304"/>
      <c r="GD22" s="304"/>
      <c r="GE22" s="304"/>
      <c r="GF22" s="304"/>
      <c r="GG22" s="304"/>
      <c r="GH22" s="304"/>
      <c r="GI22" s="304"/>
      <c r="GJ22" s="304"/>
      <c r="GK22" s="304"/>
      <c r="GL22" s="304"/>
      <c r="GN22" s="302" t="s">
        <v>291</v>
      </c>
      <c r="GO22" s="304"/>
      <c r="GP22" s="304"/>
      <c r="GQ22" s="304"/>
      <c r="GR22" s="304"/>
      <c r="GS22" s="304"/>
      <c r="GT22" s="304"/>
      <c r="GU22" s="304"/>
      <c r="GV22" s="304"/>
      <c r="GW22" s="304"/>
      <c r="GX22" s="304"/>
      <c r="GZ22" s="302" t="s">
        <v>291</v>
      </c>
      <c r="HA22" s="304"/>
      <c r="HB22" s="304"/>
      <c r="HC22" s="304"/>
      <c r="HD22" s="304"/>
      <c r="HE22" s="304"/>
      <c r="HF22" s="304"/>
      <c r="HG22" s="304"/>
      <c r="HH22" s="304"/>
      <c r="HI22" s="304"/>
      <c r="HJ22" s="304"/>
      <c r="HL22" s="302" t="s">
        <v>291</v>
      </c>
      <c r="HM22" s="304"/>
      <c r="HN22" s="304"/>
      <c r="HO22" s="304"/>
      <c r="HP22" s="304"/>
      <c r="HQ22" s="304"/>
      <c r="HR22" s="304"/>
      <c r="HS22" s="304"/>
      <c r="HT22" s="304"/>
      <c r="HU22" s="304"/>
      <c r="HV22" s="304"/>
      <c r="HX22" s="302" t="s">
        <v>291</v>
      </c>
      <c r="HY22" s="304"/>
      <c r="HZ22" s="304"/>
      <c r="IA22" s="304"/>
      <c r="IB22" s="304"/>
      <c r="IC22" s="304"/>
      <c r="ID22" s="304"/>
      <c r="IE22" s="304"/>
      <c r="IF22" s="304"/>
      <c r="IG22" s="304"/>
      <c r="IH22" s="304"/>
    </row>
    <row r="23" spans="3:242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AA23" s="304"/>
      <c r="AB23" s="304"/>
      <c r="AC23" s="304"/>
      <c r="AD23" s="304"/>
      <c r="AE23" s="304"/>
      <c r="AF23" s="304"/>
      <c r="AG23" s="304"/>
      <c r="AH23" s="304"/>
      <c r="AI23" s="304"/>
      <c r="AJ23" s="304"/>
      <c r="AK23" s="304"/>
      <c r="AM23" s="304"/>
      <c r="AN23" s="304"/>
      <c r="AO23" s="304"/>
      <c r="AP23" s="304"/>
      <c r="AQ23" s="304"/>
      <c r="AR23" s="304"/>
      <c r="AS23" s="304"/>
      <c r="AT23" s="304"/>
      <c r="AU23" s="304"/>
      <c r="AV23" s="304"/>
      <c r="AW23" s="304"/>
      <c r="AY23" s="304"/>
      <c r="AZ23" s="304"/>
      <c r="BA23" s="304"/>
      <c r="BB23" s="304"/>
      <c r="BC23" s="304"/>
      <c r="BD23" s="304"/>
      <c r="BE23" s="304"/>
      <c r="BF23" s="304"/>
      <c r="BG23" s="304"/>
      <c r="BH23" s="304"/>
      <c r="BI23" s="304"/>
      <c r="BK23" s="304"/>
      <c r="BL23" s="304"/>
      <c r="BM23" s="304"/>
      <c r="BN23" s="304"/>
      <c r="BO23" s="304"/>
      <c r="BP23" s="304"/>
      <c r="BQ23" s="304"/>
      <c r="BR23" s="304"/>
      <c r="BS23" s="304"/>
      <c r="BT23" s="304"/>
      <c r="BU23" s="304"/>
      <c r="BW23" s="304"/>
      <c r="BX23" s="304"/>
      <c r="BY23" s="304"/>
      <c r="BZ23" s="304"/>
      <c r="CA23" s="304"/>
      <c r="CB23" s="304"/>
      <c r="CC23" s="304"/>
      <c r="CD23" s="304"/>
      <c r="CE23" s="304"/>
      <c r="CF23" s="304"/>
      <c r="CG23" s="304"/>
      <c r="CI23" s="304"/>
      <c r="CJ23" s="304"/>
      <c r="CK23" s="304"/>
      <c r="CL23" s="304"/>
      <c r="CM23" s="304"/>
      <c r="CN23" s="304"/>
      <c r="CO23" s="304"/>
      <c r="CP23" s="304"/>
      <c r="CQ23" s="304"/>
      <c r="CR23" s="304"/>
      <c r="CS23" s="304"/>
      <c r="CU23" s="304"/>
      <c r="CV23" s="304"/>
      <c r="CW23" s="304"/>
      <c r="CX23" s="304"/>
      <c r="CY23" s="304"/>
      <c r="CZ23" s="304"/>
      <c r="DA23" s="304"/>
      <c r="DB23" s="304"/>
      <c r="DC23" s="304"/>
      <c r="DD23" s="304"/>
      <c r="DE23" s="304"/>
      <c r="DG23" s="304"/>
      <c r="DH23" s="304"/>
      <c r="DI23" s="304"/>
      <c r="DJ23" s="304"/>
      <c r="DK23" s="304"/>
      <c r="DL23" s="304"/>
      <c r="DM23" s="304"/>
      <c r="DN23" s="304"/>
      <c r="DO23" s="304"/>
      <c r="DP23" s="304"/>
      <c r="DQ23" s="304"/>
      <c r="DS23" s="304"/>
      <c r="DT23" s="304"/>
      <c r="DU23" s="304"/>
      <c r="DV23" s="304"/>
      <c r="DW23" s="304"/>
      <c r="DX23" s="304"/>
      <c r="DY23" s="304"/>
      <c r="DZ23" s="304"/>
      <c r="EA23" s="304"/>
      <c r="EB23" s="304"/>
      <c r="EC23" s="304"/>
      <c r="EE23" s="304"/>
      <c r="EF23" s="304"/>
      <c r="EG23" s="304"/>
      <c r="EH23" s="304"/>
      <c r="EI23" s="304"/>
      <c r="EJ23" s="304"/>
      <c r="EK23" s="304"/>
      <c r="EL23" s="304"/>
      <c r="EM23" s="304"/>
      <c r="EN23" s="304"/>
      <c r="EO23" s="304"/>
      <c r="ER23" s="304"/>
      <c r="ES23" s="304"/>
      <c r="ET23" s="304"/>
      <c r="EU23" s="304"/>
      <c r="EV23" s="304"/>
      <c r="EW23" s="304"/>
      <c r="EX23" s="304"/>
      <c r="EY23" s="304"/>
      <c r="EZ23" s="304"/>
      <c r="FA23" s="304"/>
      <c r="FB23" s="304"/>
      <c r="FD23" s="304"/>
      <c r="FE23" s="304"/>
      <c r="FF23" s="304"/>
      <c r="FG23" s="304"/>
      <c r="FH23" s="304"/>
      <c r="FI23" s="304"/>
      <c r="FJ23" s="304"/>
      <c r="FK23" s="304"/>
      <c r="FL23" s="304"/>
      <c r="FM23" s="304"/>
      <c r="FN23" s="304"/>
      <c r="FP23" s="304"/>
      <c r="FQ23" s="304"/>
      <c r="FR23" s="304"/>
      <c r="FS23" s="304"/>
      <c r="FT23" s="304"/>
      <c r="FU23" s="304"/>
      <c r="FV23" s="304"/>
      <c r="FW23" s="304"/>
      <c r="FX23" s="304"/>
      <c r="FY23" s="304"/>
      <c r="FZ23" s="304"/>
      <c r="GB23" s="304"/>
      <c r="GC23" s="304"/>
      <c r="GD23" s="304"/>
      <c r="GE23" s="304"/>
      <c r="GF23" s="304"/>
      <c r="GG23" s="304"/>
      <c r="GH23" s="304"/>
      <c r="GI23" s="304"/>
      <c r="GJ23" s="304"/>
      <c r="GK23" s="304"/>
      <c r="GL23" s="304"/>
      <c r="GN23" s="304"/>
      <c r="GO23" s="304"/>
      <c r="GP23" s="304"/>
      <c r="GQ23" s="304"/>
      <c r="GR23" s="304"/>
      <c r="GS23" s="304"/>
      <c r="GT23" s="304"/>
      <c r="GU23" s="304"/>
      <c r="GV23" s="304"/>
      <c r="GW23" s="304"/>
      <c r="GX23" s="304"/>
      <c r="GZ23" s="304"/>
      <c r="HA23" s="304"/>
      <c r="HB23" s="304"/>
      <c r="HC23" s="304"/>
      <c r="HD23" s="304"/>
      <c r="HE23" s="304"/>
      <c r="HF23" s="304"/>
      <c r="HG23" s="304"/>
      <c r="HH23" s="304"/>
      <c r="HI23" s="304"/>
      <c r="HJ23" s="304"/>
      <c r="HL23" s="304"/>
      <c r="HM23" s="304"/>
      <c r="HN23" s="304"/>
      <c r="HO23" s="304"/>
      <c r="HP23" s="304"/>
      <c r="HQ23" s="304"/>
      <c r="HR23" s="304"/>
      <c r="HS23" s="304"/>
      <c r="HT23" s="304"/>
      <c r="HU23" s="304"/>
      <c r="HV23" s="304"/>
      <c r="HX23" s="304"/>
      <c r="HY23" s="304"/>
      <c r="HZ23" s="304"/>
      <c r="IA23" s="304"/>
      <c r="IB23" s="304"/>
      <c r="IC23" s="304"/>
      <c r="ID23" s="304"/>
      <c r="IE23" s="304"/>
      <c r="IF23" s="304"/>
      <c r="IG23" s="304"/>
      <c r="IH23" s="304"/>
    </row>
    <row r="24" spans="3:242">
      <c r="C24" s="304" t="s">
        <v>46</v>
      </c>
      <c r="D24" s="304"/>
      <c r="E24" s="304" t="s">
        <v>278</v>
      </c>
      <c r="F24" s="309">
        <f>'COMPUTATION SHEET'!AA24</f>
        <v>71700</v>
      </c>
      <c r="G24" s="304"/>
      <c r="H24" s="304"/>
      <c r="I24" s="304"/>
      <c r="J24" s="304"/>
      <c r="K24" s="304"/>
      <c r="L24" s="304"/>
      <c r="M24" s="304"/>
      <c r="O24" s="304" t="s">
        <v>46</v>
      </c>
      <c r="P24" s="304"/>
      <c r="Q24" s="304" t="s">
        <v>278</v>
      </c>
      <c r="R24" s="309">
        <f>'COMPUTATION SHEET'!AA26</f>
        <v>113000</v>
      </c>
      <c r="S24" s="304"/>
      <c r="T24" s="304"/>
      <c r="U24" s="304"/>
      <c r="V24" s="304"/>
      <c r="W24" s="304"/>
      <c r="X24" s="304"/>
      <c r="Y24" s="304"/>
      <c r="AA24" s="304" t="s">
        <v>46</v>
      </c>
      <c r="AB24" s="304"/>
      <c r="AC24" s="304" t="s">
        <v>278</v>
      </c>
      <c r="AD24" s="309">
        <f>'COMPUTATION SHEET'!AA28</f>
        <v>196400</v>
      </c>
      <c r="AE24" s="304"/>
      <c r="AF24" s="304"/>
      <c r="AG24" s="304"/>
      <c r="AH24" s="304"/>
      <c r="AI24" s="304"/>
      <c r="AJ24" s="304"/>
      <c r="AK24" s="304"/>
      <c r="AM24" s="304" t="s">
        <v>46</v>
      </c>
      <c r="AN24" s="304"/>
      <c r="AO24" s="304" t="s">
        <v>278</v>
      </c>
      <c r="AP24" s="309">
        <f>'COMPUTATION SHEET'!AA30</f>
        <v>139500</v>
      </c>
      <c r="AQ24" s="304"/>
      <c r="AR24" s="304"/>
      <c r="AS24" s="304"/>
      <c r="AT24" s="304"/>
      <c r="AU24" s="304"/>
      <c r="AV24" s="304"/>
      <c r="AW24" s="304"/>
      <c r="AY24" s="304" t="s">
        <v>46</v>
      </c>
      <c r="AZ24" s="304"/>
      <c r="BA24" s="304" t="s">
        <v>278</v>
      </c>
      <c r="BB24" s="309">
        <f>'COMPUTATION SHEET'!AA32</f>
        <v>137350</v>
      </c>
      <c r="BC24" s="304"/>
      <c r="BD24" s="304"/>
      <c r="BE24" s="304"/>
      <c r="BF24" s="304"/>
      <c r="BG24" s="304"/>
      <c r="BH24" s="304"/>
      <c r="BI24" s="304"/>
      <c r="BK24" s="304" t="s">
        <v>46</v>
      </c>
      <c r="BL24" s="304"/>
      <c r="BM24" s="304" t="s">
        <v>278</v>
      </c>
      <c r="BN24" s="309">
        <f>'COMPUTATION SHEET'!AA34</f>
        <v>150300</v>
      </c>
      <c r="BO24" s="304"/>
      <c r="BP24" s="304"/>
      <c r="BQ24" s="304"/>
      <c r="BR24" s="304"/>
      <c r="BS24" s="304"/>
      <c r="BT24" s="304"/>
      <c r="BU24" s="304"/>
      <c r="BW24" s="304" t="s">
        <v>46</v>
      </c>
      <c r="BX24" s="304"/>
      <c r="BY24" s="304" t="s">
        <v>278</v>
      </c>
      <c r="BZ24" s="309">
        <f>'COMPUTATION SHEET'!AA36</f>
        <v>433500</v>
      </c>
      <c r="CA24" s="304"/>
      <c r="CB24" s="304"/>
      <c r="CC24" s="304"/>
      <c r="CD24" s="304"/>
      <c r="CE24" s="304"/>
      <c r="CF24" s="304"/>
      <c r="CG24" s="304"/>
      <c r="CI24" s="304" t="s">
        <v>46</v>
      </c>
      <c r="CJ24" s="304"/>
      <c r="CK24" s="304" t="s">
        <v>278</v>
      </c>
      <c r="CL24" s="309">
        <f>'COMPUTATION SHEET'!AA38</f>
        <v>186500</v>
      </c>
      <c r="CM24" s="304"/>
      <c r="CN24" s="304"/>
      <c r="CO24" s="304"/>
      <c r="CP24" s="304"/>
      <c r="CQ24" s="304"/>
      <c r="CR24" s="304"/>
      <c r="CS24" s="304"/>
      <c r="CU24" s="304" t="s">
        <v>46</v>
      </c>
      <c r="CV24" s="304"/>
      <c r="CW24" s="304" t="s">
        <v>278</v>
      </c>
      <c r="CX24" s="309">
        <f>'COMPUTATION SHEET'!AA40</f>
        <v>165400</v>
      </c>
      <c r="CY24" s="304"/>
      <c r="CZ24" s="304"/>
      <c r="DA24" s="304"/>
      <c r="DB24" s="304"/>
      <c r="DC24" s="304"/>
      <c r="DD24" s="304"/>
      <c r="DE24" s="304"/>
      <c r="DG24" s="304" t="s">
        <v>46</v>
      </c>
      <c r="DH24" s="304"/>
      <c r="DI24" s="304" t="s">
        <v>278</v>
      </c>
      <c r="DJ24" s="309">
        <f>'COMPUTATION SHEET'!AA42</f>
        <v>148900</v>
      </c>
      <c r="DK24" s="304"/>
      <c r="DL24" s="304"/>
      <c r="DM24" s="304"/>
      <c r="DN24" s="304"/>
      <c r="DO24" s="304"/>
      <c r="DP24" s="304"/>
      <c r="DQ24" s="304"/>
      <c r="DS24" s="304" t="s">
        <v>46</v>
      </c>
      <c r="DT24" s="304"/>
      <c r="DU24" s="304" t="s">
        <v>278</v>
      </c>
      <c r="DV24" s="309">
        <f>'COMPUTATION SHEET'!AA44</f>
        <v>188700</v>
      </c>
      <c r="DW24" s="304"/>
      <c r="DX24" s="304"/>
      <c r="DY24" s="304"/>
      <c r="DZ24" s="304"/>
      <c r="EA24" s="304"/>
      <c r="EB24" s="304"/>
      <c r="EC24" s="304"/>
      <c r="EE24" s="304" t="s">
        <v>46</v>
      </c>
      <c r="EF24" s="304"/>
      <c r="EG24" s="304" t="s">
        <v>278</v>
      </c>
      <c r="EH24" s="309">
        <f>'COMPUTATION SHEET'!AA46</f>
        <v>238900</v>
      </c>
      <c r="EI24" s="304"/>
      <c r="EJ24" s="304"/>
      <c r="EK24" s="304"/>
      <c r="EL24" s="304"/>
      <c r="EM24" s="304"/>
      <c r="EN24" s="304"/>
      <c r="EO24" s="304"/>
      <c r="ER24" s="304" t="s">
        <v>46</v>
      </c>
      <c r="ES24" s="304"/>
      <c r="ET24" s="304" t="s">
        <v>278</v>
      </c>
      <c r="EU24" s="309">
        <f>'COMPUTATION SHEET'!AA48</f>
        <v>321000</v>
      </c>
      <c r="EV24" s="304"/>
      <c r="EW24" s="304"/>
      <c r="EX24" s="304"/>
      <c r="EY24" s="304"/>
      <c r="EZ24" s="304"/>
      <c r="FA24" s="304"/>
      <c r="FB24" s="304"/>
      <c r="FD24" s="304" t="s">
        <v>46</v>
      </c>
      <c r="FE24" s="304"/>
      <c r="FF24" s="304" t="s">
        <v>278</v>
      </c>
      <c r="FG24" s="309">
        <f>'COMPUTATION SHEET'!AA50</f>
        <v>266300</v>
      </c>
      <c r="FH24" s="304"/>
      <c r="FI24" s="304"/>
      <c r="FJ24" s="304"/>
      <c r="FK24" s="304"/>
      <c r="FL24" s="304"/>
      <c r="FM24" s="304"/>
      <c r="FN24" s="304"/>
      <c r="FP24" s="304" t="s">
        <v>46</v>
      </c>
      <c r="FQ24" s="304"/>
      <c r="FR24" s="304" t="s">
        <v>278</v>
      </c>
      <c r="FS24" s="309">
        <f>'COMPUTATION SHEET'!AA52</f>
        <v>0</v>
      </c>
      <c r="FT24" s="304"/>
      <c r="FU24" s="304"/>
      <c r="FV24" s="304"/>
      <c r="FW24" s="304"/>
      <c r="FX24" s="304"/>
      <c r="FY24" s="304"/>
      <c r="FZ24" s="304"/>
      <c r="GB24" s="304" t="s">
        <v>46</v>
      </c>
      <c r="GC24" s="304"/>
      <c r="GD24" s="304" t="s">
        <v>278</v>
      </c>
      <c r="GE24" s="309">
        <f>'COMPUTATION SHEET'!AA54</f>
        <v>0</v>
      </c>
      <c r="GF24" s="304"/>
      <c r="GG24" s="304"/>
      <c r="GH24" s="304"/>
      <c r="GI24" s="304"/>
      <c r="GJ24" s="304"/>
      <c r="GK24" s="304"/>
      <c r="GL24" s="304"/>
      <c r="GN24" s="304" t="s">
        <v>46</v>
      </c>
      <c r="GO24" s="304"/>
      <c r="GP24" s="304" t="s">
        <v>278</v>
      </c>
      <c r="GQ24" s="309">
        <f>'COMPUTATION SHEET'!AA56</f>
        <v>0</v>
      </c>
      <c r="GR24" s="304"/>
      <c r="GS24" s="304"/>
      <c r="GT24" s="304"/>
      <c r="GU24" s="304"/>
      <c r="GV24" s="304"/>
      <c r="GW24" s="304"/>
      <c r="GX24" s="304"/>
      <c r="GZ24" s="304" t="s">
        <v>46</v>
      </c>
      <c r="HA24" s="304"/>
      <c r="HB24" s="304" t="s">
        <v>278</v>
      </c>
      <c r="HC24" s="309">
        <f>'COMPUTATION SHEET'!AA58</f>
        <v>0</v>
      </c>
      <c r="HD24" s="304"/>
      <c r="HE24" s="304"/>
      <c r="HF24" s="304"/>
      <c r="HG24" s="304"/>
      <c r="HH24" s="304"/>
      <c r="HI24" s="304"/>
      <c r="HJ24" s="304"/>
      <c r="HL24" s="304" t="s">
        <v>46</v>
      </c>
      <c r="HM24" s="304"/>
      <c r="HN24" s="304" t="s">
        <v>278</v>
      </c>
      <c r="HO24" s="309">
        <f>'COMPUTATION SHEET'!AA60</f>
        <v>0</v>
      </c>
      <c r="HP24" s="304"/>
      <c r="HQ24" s="304"/>
      <c r="HR24" s="304"/>
      <c r="HS24" s="304"/>
      <c r="HT24" s="304"/>
      <c r="HU24" s="304"/>
      <c r="HV24" s="304"/>
      <c r="HX24" s="304" t="s">
        <v>46</v>
      </c>
      <c r="HY24" s="304"/>
      <c r="HZ24" s="304" t="s">
        <v>278</v>
      </c>
      <c r="IA24" s="309">
        <f>'COMPUTATION SHEET'!AA62</f>
        <v>0</v>
      </c>
      <c r="IB24" s="304"/>
      <c r="IC24" s="304"/>
      <c r="ID24" s="304"/>
      <c r="IE24" s="304"/>
      <c r="IF24" s="304"/>
      <c r="IG24" s="304"/>
      <c r="IH24" s="304"/>
    </row>
    <row r="25" spans="3:242">
      <c r="C25" s="301" t="s">
        <v>273</v>
      </c>
      <c r="E25" s="301" t="s">
        <v>278</v>
      </c>
      <c r="F25" s="302">
        <f>'COMPUTATION SHEET'!AC24</f>
        <v>12</v>
      </c>
      <c r="G25" s="301" t="s">
        <v>280</v>
      </c>
      <c r="O25" s="301" t="s">
        <v>273</v>
      </c>
      <c r="Q25" s="301" t="s">
        <v>278</v>
      </c>
      <c r="R25" s="302">
        <f>'COMPUTATION SHEET'!AC26</f>
        <v>48</v>
      </c>
      <c r="S25" s="301" t="s">
        <v>280</v>
      </c>
      <c r="AA25" s="301" t="s">
        <v>273</v>
      </c>
      <c r="AC25" s="301" t="s">
        <v>278</v>
      </c>
      <c r="AD25" s="302">
        <f>'COMPUTATION SHEET'!AC28</f>
        <v>48</v>
      </c>
      <c r="AE25" s="301" t="s">
        <v>280</v>
      </c>
      <c r="AM25" s="301" t="s">
        <v>273</v>
      </c>
      <c r="AO25" s="301" t="s">
        <v>278</v>
      </c>
      <c r="AP25" s="302">
        <f>'COMPUTATION SHEET'!AC30</f>
        <v>48</v>
      </c>
      <c r="AQ25" s="301" t="s">
        <v>280</v>
      </c>
      <c r="AY25" s="301" t="s">
        <v>273</v>
      </c>
      <c r="BA25" s="301" t="s">
        <v>278</v>
      </c>
      <c r="BB25" s="302">
        <f>'COMPUTATION SHEET'!AC32</f>
        <v>48</v>
      </c>
      <c r="BC25" s="301" t="s">
        <v>280</v>
      </c>
      <c r="BK25" s="301" t="s">
        <v>273</v>
      </c>
      <c r="BM25" s="301" t="s">
        <v>278</v>
      </c>
      <c r="BN25" s="302">
        <f>'COMPUTATION SHEET'!AC34</f>
        <v>48</v>
      </c>
      <c r="BO25" s="301" t="s">
        <v>280</v>
      </c>
      <c r="BW25" s="301" t="s">
        <v>273</v>
      </c>
      <c r="BY25" s="301" t="s">
        <v>278</v>
      </c>
      <c r="BZ25" s="302">
        <f>'COMPUTATION SHEET'!AC36</f>
        <v>48</v>
      </c>
      <c r="CA25" s="301" t="s">
        <v>280</v>
      </c>
      <c r="CI25" s="301" t="s">
        <v>273</v>
      </c>
      <c r="CK25" s="301" t="s">
        <v>278</v>
      </c>
      <c r="CL25" s="302">
        <f>'COMPUTATION SHEET'!AC38</f>
        <v>48</v>
      </c>
      <c r="CM25" s="301" t="s">
        <v>280</v>
      </c>
      <c r="CU25" s="301" t="s">
        <v>273</v>
      </c>
      <c r="CW25" s="301" t="s">
        <v>278</v>
      </c>
      <c r="CX25" s="302">
        <f>'COMPUTATION SHEET'!AC40</f>
        <v>48</v>
      </c>
      <c r="CY25" s="301" t="s">
        <v>280</v>
      </c>
      <c r="DG25" s="301" t="s">
        <v>273</v>
      </c>
      <c r="DI25" s="301" t="s">
        <v>278</v>
      </c>
      <c r="DJ25" s="302">
        <f>'COMPUTATION SHEET'!AC42</f>
        <v>48</v>
      </c>
      <c r="DK25" s="301" t="s">
        <v>280</v>
      </c>
      <c r="DS25" s="301" t="s">
        <v>273</v>
      </c>
      <c r="DU25" s="301" t="s">
        <v>278</v>
      </c>
      <c r="DV25" s="302">
        <f>'COMPUTATION SHEET'!AC44</f>
        <v>48</v>
      </c>
      <c r="DW25" s="301" t="s">
        <v>280</v>
      </c>
      <c r="EE25" s="301" t="s">
        <v>273</v>
      </c>
      <c r="EG25" s="301" t="s">
        <v>278</v>
      </c>
      <c r="EH25" s="302">
        <f>'COMPUTATION SHEET'!AC46</f>
        <v>48</v>
      </c>
      <c r="EI25" s="301" t="s">
        <v>280</v>
      </c>
      <c r="ER25" s="301" t="s">
        <v>273</v>
      </c>
      <c r="ET25" s="301" t="s">
        <v>278</v>
      </c>
      <c r="EU25" s="302">
        <f>'COMPUTATION SHEET'!AC48</f>
        <v>48</v>
      </c>
      <c r="EV25" s="301" t="s">
        <v>280</v>
      </c>
      <c r="FD25" s="301" t="s">
        <v>273</v>
      </c>
      <c r="FF25" s="301" t="s">
        <v>278</v>
      </c>
      <c r="FG25" s="302">
        <f>'COMPUTATION SHEET'!AC50</f>
        <v>48</v>
      </c>
      <c r="FH25" s="301" t="s">
        <v>280</v>
      </c>
      <c r="FP25" s="301" t="s">
        <v>273</v>
      </c>
      <c r="FR25" s="301" t="s">
        <v>278</v>
      </c>
      <c r="FS25" s="302">
        <f>'COMPUTATION SHEET'!AC52</f>
        <v>0</v>
      </c>
      <c r="FT25" s="301" t="s">
        <v>280</v>
      </c>
      <c r="GB25" s="301" t="s">
        <v>273</v>
      </c>
      <c r="GD25" s="301" t="s">
        <v>278</v>
      </c>
      <c r="GE25" s="302">
        <f>'COMPUTATION SHEET'!AC54</f>
        <v>0</v>
      </c>
      <c r="GF25" s="301" t="s">
        <v>280</v>
      </c>
      <c r="GN25" s="301" t="s">
        <v>273</v>
      </c>
      <c r="GP25" s="301" t="s">
        <v>278</v>
      </c>
      <c r="GQ25" s="302">
        <f>'COMPUTATION SHEET'!AC56</f>
        <v>0</v>
      </c>
      <c r="GR25" s="301" t="s">
        <v>280</v>
      </c>
      <c r="GZ25" s="301" t="s">
        <v>273</v>
      </c>
      <c r="HB25" s="301" t="s">
        <v>278</v>
      </c>
      <c r="HC25" s="302">
        <f>'COMPUTATION SHEET'!AC58</f>
        <v>0</v>
      </c>
      <c r="HD25" s="301" t="s">
        <v>280</v>
      </c>
      <c r="HL25" s="301" t="s">
        <v>273</v>
      </c>
      <c r="HN25" s="301" t="s">
        <v>278</v>
      </c>
      <c r="HO25" s="302">
        <f>'COMPUTATION SHEET'!AC60</f>
        <v>0</v>
      </c>
      <c r="HP25" s="301" t="s">
        <v>280</v>
      </c>
      <c r="HX25" s="301" t="s">
        <v>273</v>
      </c>
      <c r="HZ25" s="301" t="s">
        <v>278</v>
      </c>
      <c r="IA25" s="302">
        <f>'COMPUTATION SHEET'!AC62</f>
        <v>0</v>
      </c>
      <c r="IB25" s="301" t="s">
        <v>280</v>
      </c>
    </row>
    <row r="26" spans="3:242">
      <c r="C26" s="301" t="s">
        <v>279</v>
      </c>
      <c r="E26" s="301" t="s">
        <v>278</v>
      </c>
      <c r="F26" s="303">
        <f>'COMPUTATION SHEET'!AB24</f>
        <v>0.12651000000000001</v>
      </c>
      <c r="G26" s="301" t="s">
        <v>281</v>
      </c>
      <c r="O26" s="301" t="s">
        <v>279</v>
      </c>
      <c r="Q26" s="301" t="s">
        <v>278</v>
      </c>
      <c r="R26" s="303">
        <f>'COMPUTATION SHEET'!AB26</f>
        <v>0.15810000000000002</v>
      </c>
      <c r="S26" s="301" t="s">
        <v>281</v>
      </c>
      <c r="AA26" s="301" t="s">
        <v>279</v>
      </c>
      <c r="AC26" s="301" t="s">
        <v>278</v>
      </c>
      <c r="AD26" s="303">
        <f>'COMPUTATION SHEET'!AB28</f>
        <v>0.15810000000000002</v>
      </c>
      <c r="AE26" s="301" t="s">
        <v>281</v>
      </c>
      <c r="AM26" s="301" t="s">
        <v>279</v>
      </c>
      <c r="AO26" s="301" t="s">
        <v>278</v>
      </c>
      <c r="AP26" s="303">
        <f>'COMPUTATION SHEET'!AB30</f>
        <v>0.15810000000000002</v>
      </c>
      <c r="AQ26" s="301" t="s">
        <v>281</v>
      </c>
      <c r="AY26" s="301" t="s">
        <v>279</v>
      </c>
      <c r="BA26" s="301" t="s">
        <v>278</v>
      </c>
      <c r="BB26" s="303">
        <f>'COMPUTATION SHEET'!AB32</f>
        <v>0.15810000000000002</v>
      </c>
      <c r="BC26" s="301" t="s">
        <v>281</v>
      </c>
      <c r="BK26" s="301" t="s">
        <v>279</v>
      </c>
      <c r="BM26" s="301" t="s">
        <v>278</v>
      </c>
      <c r="BN26" s="303">
        <f>'COMPUTATION SHEET'!AB34</f>
        <v>0.15810000000000002</v>
      </c>
      <c r="BO26" s="301" t="s">
        <v>281</v>
      </c>
      <c r="BW26" s="301" t="s">
        <v>279</v>
      </c>
      <c r="BY26" s="301" t="s">
        <v>278</v>
      </c>
      <c r="BZ26" s="303">
        <f>'COMPUTATION SHEET'!AB36</f>
        <v>0.15810000000000002</v>
      </c>
      <c r="CA26" s="301" t="s">
        <v>281</v>
      </c>
      <c r="CI26" s="301" t="s">
        <v>279</v>
      </c>
      <c r="CK26" s="301" t="s">
        <v>278</v>
      </c>
      <c r="CL26" s="303">
        <f>'COMPUTATION SHEET'!AB38</f>
        <v>0.15810000000000002</v>
      </c>
      <c r="CM26" s="301" t="s">
        <v>281</v>
      </c>
      <c r="CU26" s="301" t="s">
        <v>279</v>
      </c>
      <c r="CW26" s="301" t="s">
        <v>278</v>
      </c>
      <c r="CX26" s="303">
        <f>'COMPUTATION SHEET'!AB40</f>
        <v>0.15810000000000002</v>
      </c>
      <c r="CY26" s="301" t="s">
        <v>281</v>
      </c>
      <c r="DG26" s="301" t="s">
        <v>279</v>
      </c>
      <c r="DI26" s="301" t="s">
        <v>278</v>
      </c>
      <c r="DJ26" s="303">
        <f>'COMPUTATION SHEET'!AB42</f>
        <v>0.15810000000000002</v>
      </c>
      <c r="DK26" s="301" t="s">
        <v>281</v>
      </c>
      <c r="DS26" s="301" t="s">
        <v>279</v>
      </c>
      <c r="DU26" s="301" t="s">
        <v>278</v>
      </c>
      <c r="DV26" s="303">
        <f>'COMPUTATION SHEET'!AB44</f>
        <v>0.15810000000000002</v>
      </c>
      <c r="DW26" s="301" t="s">
        <v>281</v>
      </c>
      <c r="EE26" s="301" t="s">
        <v>279</v>
      </c>
      <c r="EG26" s="301" t="s">
        <v>278</v>
      </c>
      <c r="EH26" s="303">
        <f>'COMPUTATION SHEET'!AB46</f>
        <v>0.15810000000000002</v>
      </c>
      <c r="EI26" s="301" t="s">
        <v>281</v>
      </c>
      <c r="ER26" s="301" t="s">
        <v>279</v>
      </c>
      <c r="ET26" s="301" t="s">
        <v>278</v>
      </c>
      <c r="EU26" s="303">
        <f>'COMPUTATION SHEET'!AB48</f>
        <v>0.15810000000000002</v>
      </c>
      <c r="EV26" s="301" t="s">
        <v>281</v>
      </c>
      <c r="FD26" s="301" t="s">
        <v>279</v>
      </c>
      <c r="FF26" s="301" t="s">
        <v>278</v>
      </c>
      <c r="FG26" s="303">
        <f>'COMPUTATION SHEET'!AB50</f>
        <v>0.15810000000000002</v>
      </c>
      <c r="FH26" s="301" t="s">
        <v>281</v>
      </c>
      <c r="FP26" s="301" t="s">
        <v>279</v>
      </c>
      <c r="FR26" s="301" t="s">
        <v>278</v>
      </c>
      <c r="FS26" s="303" t="str">
        <f>'COMPUTATION SHEET'!AB52</f>
        <v xml:space="preserve"> </v>
      </c>
      <c r="FT26" s="301" t="s">
        <v>281</v>
      </c>
      <c r="GB26" s="301" t="s">
        <v>279</v>
      </c>
      <c r="GD26" s="301" t="s">
        <v>278</v>
      </c>
      <c r="GE26" s="303" t="str">
        <f>'COMPUTATION SHEET'!AB54</f>
        <v xml:space="preserve"> </v>
      </c>
      <c r="GF26" s="301" t="s">
        <v>281</v>
      </c>
      <c r="GN26" s="301" t="s">
        <v>279</v>
      </c>
      <c r="GP26" s="301" t="s">
        <v>278</v>
      </c>
      <c r="GQ26" s="303" t="str">
        <f>'COMPUTATION SHEET'!AB56</f>
        <v xml:space="preserve"> </v>
      </c>
      <c r="GR26" s="301" t="s">
        <v>281</v>
      </c>
      <c r="GZ26" s="301" t="s">
        <v>279</v>
      </c>
      <c r="HB26" s="301" t="s">
        <v>278</v>
      </c>
      <c r="HC26" s="303" t="str">
        <f>'COMPUTATION SHEET'!AB58</f>
        <v xml:space="preserve"> </v>
      </c>
      <c r="HD26" s="301" t="s">
        <v>281</v>
      </c>
      <c r="HL26" s="301" t="s">
        <v>279</v>
      </c>
      <c r="HN26" s="301" t="s">
        <v>278</v>
      </c>
      <c r="HO26" s="303" t="str">
        <f>'COMPUTATION SHEET'!AB60</f>
        <v xml:space="preserve"> </v>
      </c>
      <c r="HP26" s="301" t="s">
        <v>281</v>
      </c>
      <c r="HX26" s="301" t="s">
        <v>279</v>
      </c>
      <c r="HZ26" s="301" t="s">
        <v>278</v>
      </c>
      <c r="IA26" s="303" t="str">
        <f>'COMPUTATION SHEET'!AB62</f>
        <v xml:space="preserve"> </v>
      </c>
      <c r="IB26" s="301" t="s">
        <v>281</v>
      </c>
    </row>
    <row r="27" spans="3:242">
      <c r="C27" s="301" t="s">
        <v>274</v>
      </c>
      <c r="E27" s="301" t="s">
        <v>278</v>
      </c>
      <c r="F27" s="302">
        <v>30</v>
      </c>
      <c r="G27" s="301" t="s">
        <v>282</v>
      </c>
      <c r="O27" s="301" t="s">
        <v>274</v>
      </c>
      <c r="Q27" s="301" t="s">
        <v>278</v>
      </c>
      <c r="R27" s="302">
        <v>30</v>
      </c>
      <c r="S27" s="301" t="s">
        <v>282</v>
      </c>
      <c r="AA27" s="301" t="s">
        <v>274</v>
      </c>
      <c r="AC27" s="301" t="s">
        <v>278</v>
      </c>
      <c r="AD27" s="302">
        <v>30</v>
      </c>
      <c r="AE27" s="301" t="s">
        <v>282</v>
      </c>
      <c r="AM27" s="301" t="s">
        <v>274</v>
      </c>
      <c r="AO27" s="301" t="s">
        <v>278</v>
      </c>
      <c r="AP27" s="302">
        <v>30</v>
      </c>
      <c r="AQ27" s="301" t="s">
        <v>282</v>
      </c>
      <c r="AY27" s="301" t="s">
        <v>274</v>
      </c>
      <c r="BA27" s="301" t="s">
        <v>278</v>
      </c>
      <c r="BB27" s="302">
        <v>30</v>
      </c>
      <c r="BC27" s="301" t="s">
        <v>282</v>
      </c>
      <c r="BK27" s="301" t="s">
        <v>274</v>
      </c>
      <c r="BM27" s="301" t="s">
        <v>278</v>
      </c>
      <c r="BN27" s="302">
        <v>30</v>
      </c>
      <c r="BO27" s="301" t="s">
        <v>282</v>
      </c>
      <c r="BW27" s="301" t="s">
        <v>274</v>
      </c>
      <c r="BY27" s="301" t="s">
        <v>278</v>
      </c>
      <c r="BZ27" s="302">
        <v>30</v>
      </c>
      <c r="CA27" s="301" t="s">
        <v>282</v>
      </c>
      <c r="CI27" s="301" t="s">
        <v>274</v>
      </c>
      <c r="CK27" s="301" t="s">
        <v>278</v>
      </c>
      <c r="CL27" s="302">
        <v>30</v>
      </c>
      <c r="CM27" s="301" t="s">
        <v>282</v>
      </c>
      <c r="CU27" s="301" t="s">
        <v>274</v>
      </c>
      <c r="CW27" s="301" t="s">
        <v>278</v>
      </c>
      <c r="CX27" s="302">
        <v>30</v>
      </c>
      <c r="CY27" s="301" t="s">
        <v>282</v>
      </c>
      <c r="DG27" s="301" t="s">
        <v>274</v>
      </c>
      <c r="DI27" s="301" t="s">
        <v>278</v>
      </c>
      <c r="DJ27" s="302">
        <v>30</v>
      </c>
      <c r="DK27" s="301" t="s">
        <v>282</v>
      </c>
      <c r="DS27" s="301" t="s">
        <v>274</v>
      </c>
      <c r="DU27" s="301" t="s">
        <v>278</v>
      </c>
      <c r="DV27" s="302">
        <v>30</v>
      </c>
      <c r="DW27" s="301" t="s">
        <v>282</v>
      </c>
      <c r="EE27" s="301" t="s">
        <v>274</v>
      </c>
      <c r="EG27" s="301" t="s">
        <v>278</v>
      </c>
      <c r="EH27" s="302">
        <v>30</v>
      </c>
      <c r="EI27" s="301" t="s">
        <v>282</v>
      </c>
      <c r="ER27" s="301" t="s">
        <v>274</v>
      </c>
      <c r="ET27" s="301" t="s">
        <v>278</v>
      </c>
      <c r="EU27" s="302">
        <v>30</v>
      </c>
      <c r="EV27" s="301" t="s">
        <v>282</v>
      </c>
      <c r="FD27" s="301" t="s">
        <v>274</v>
      </c>
      <c r="FF27" s="301" t="s">
        <v>278</v>
      </c>
      <c r="FG27" s="302">
        <v>30</v>
      </c>
      <c r="FH27" s="301" t="s">
        <v>282</v>
      </c>
      <c r="FP27" s="301" t="s">
        <v>274</v>
      </c>
      <c r="FR27" s="301" t="s">
        <v>278</v>
      </c>
      <c r="FS27" s="302">
        <v>30</v>
      </c>
      <c r="FT27" s="301" t="s">
        <v>282</v>
      </c>
      <c r="GB27" s="301" t="s">
        <v>274</v>
      </c>
      <c r="GD27" s="301" t="s">
        <v>278</v>
      </c>
      <c r="GE27" s="302">
        <v>30</v>
      </c>
      <c r="GF27" s="301" t="s">
        <v>282</v>
      </c>
      <c r="GN27" s="301" t="s">
        <v>274</v>
      </c>
      <c r="GP27" s="301" t="s">
        <v>278</v>
      </c>
      <c r="GQ27" s="302">
        <v>30</v>
      </c>
      <c r="GR27" s="301" t="s">
        <v>282</v>
      </c>
      <c r="GZ27" s="301" t="s">
        <v>274</v>
      </c>
      <c r="HB27" s="301" t="s">
        <v>278</v>
      </c>
      <c r="HC27" s="302">
        <v>30</v>
      </c>
      <c r="HD27" s="301" t="s">
        <v>282</v>
      </c>
      <c r="HL27" s="301" t="s">
        <v>274</v>
      </c>
      <c r="HN27" s="301" t="s">
        <v>278</v>
      </c>
      <c r="HO27" s="302">
        <v>30</v>
      </c>
      <c r="HP27" s="301" t="s">
        <v>282</v>
      </c>
      <c r="HX27" s="301" t="s">
        <v>274</v>
      </c>
      <c r="HZ27" s="301" t="s">
        <v>278</v>
      </c>
      <c r="IA27" s="302">
        <v>30</v>
      </c>
      <c r="IB27" s="301" t="s">
        <v>282</v>
      </c>
    </row>
    <row r="28" spans="3:242">
      <c r="C28" s="301" t="s">
        <v>275</v>
      </c>
      <c r="E28" s="301" t="s">
        <v>278</v>
      </c>
      <c r="F28" s="301" t="s">
        <v>283</v>
      </c>
      <c r="O28" s="301" t="s">
        <v>275</v>
      </c>
      <c r="Q28" s="301" t="s">
        <v>278</v>
      </c>
      <c r="R28" s="301" t="s">
        <v>283</v>
      </c>
      <c r="AA28" s="301" t="s">
        <v>275</v>
      </c>
      <c r="AC28" s="301" t="s">
        <v>278</v>
      </c>
      <c r="AD28" s="301" t="s">
        <v>283</v>
      </c>
      <c r="AM28" s="301" t="s">
        <v>275</v>
      </c>
      <c r="AO28" s="301" t="s">
        <v>278</v>
      </c>
      <c r="AP28" s="301" t="s">
        <v>283</v>
      </c>
      <c r="AY28" s="301" t="s">
        <v>275</v>
      </c>
      <c r="BA28" s="301" t="s">
        <v>278</v>
      </c>
      <c r="BB28" s="301" t="s">
        <v>283</v>
      </c>
      <c r="BK28" s="301" t="s">
        <v>275</v>
      </c>
      <c r="BM28" s="301" t="s">
        <v>278</v>
      </c>
      <c r="BN28" s="301" t="s">
        <v>283</v>
      </c>
      <c r="BW28" s="301" t="s">
        <v>275</v>
      </c>
      <c r="BY28" s="301" t="s">
        <v>278</v>
      </c>
      <c r="BZ28" s="301" t="s">
        <v>283</v>
      </c>
      <c r="CI28" s="301" t="s">
        <v>275</v>
      </c>
      <c r="CK28" s="301" t="s">
        <v>278</v>
      </c>
      <c r="CL28" s="301" t="s">
        <v>283</v>
      </c>
      <c r="CU28" s="301" t="s">
        <v>275</v>
      </c>
      <c r="CW28" s="301" t="s">
        <v>278</v>
      </c>
      <c r="CX28" s="301" t="s">
        <v>283</v>
      </c>
      <c r="DG28" s="301" t="s">
        <v>275</v>
      </c>
      <c r="DI28" s="301" t="s">
        <v>278</v>
      </c>
      <c r="DJ28" s="301" t="s">
        <v>283</v>
      </c>
      <c r="DS28" s="301" t="s">
        <v>275</v>
      </c>
      <c r="DU28" s="301" t="s">
        <v>278</v>
      </c>
      <c r="DV28" s="301" t="s">
        <v>283</v>
      </c>
      <c r="EE28" s="301" t="s">
        <v>275</v>
      </c>
      <c r="EG28" s="301" t="s">
        <v>278</v>
      </c>
      <c r="EH28" s="301" t="s">
        <v>283</v>
      </c>
      <c r="ER28" s="301" t="s">
        <v>275</v>
      </c>
      <c r="ET28" s="301" t="s">
        <v>278</v>
      </c>
      <c r="EU28" s="301" t="s">
        <v>283</v>
      </c>
      <c r="FD28" s="301" t="s">
        <v>275</v>
      </c>
      <c r="FF28" s="301" t="s">
        <v>278</v>
      </c>
      <c r="FG28" s="301" t="s">
        <v>283</v>
      </c>
      <c r="FP28" s="301" t="s">
        <v>275</v>
      </c>
      <c r="FR28" s="301" t="s">
        <v>278</v>
      </c>
      <c r="FS28" s="301" t="s">
        <v>283</v>
      </c>
      <c r="GB28" s="301" t="s">
        <v>275</v>
      </c>
      <c r="GD28" s="301" t="s">
        <v>278</v>
      </c>
      <c r="GE28" s="301" t="s">
        <v>283</v>
      </c>
      <c r="GN28" s="301" t="s">
        <v>275</v>
      </c>
      <c r="GP28" s="301" t="s">
        <v>278</v>
      </c>
      <c r="GQ28" s="301" t="s">
        <v>283</v>
      </c>
      <c r="GZ28" s="301" t="s">
        <v>275</v>
      </c>
      <c r="HB28" s="301" t="s">
        <v>278</v>
      </c>
      <c r="HC28" s="301" t="s">
        <v>283</v>
      </c>
      <c r="HL28" s="301" t="s">
        <v>275</v>
      </c>
      <c r="HN28" s="301" t="s">
        <v>278</v>
      </c>
      <c r="HO28" s="301" t="s">
        <v>283</v>
      </c>
      <c r="HX28" s="301" t="s">
        <v>275</v>
      </c>
      <c r="HZ28" s="301" t="s">
        <v>278</v>
      </c>
      <c r="IA28" s="301" t="s">
        <v>283</v>
      </c>
    </row>
    <row r="29" spans="3:242">
      <c r="F29" s="301" t="s">
        <v>284</v>
      </c>
      <c r="R29" s="301" t="s">
        <v>284</v>
      </c>
      <c r="AD29" s="301" t="s">
        <v>284</v>
      </c>
      <c r="AP29" s="301" t="s">
        <v>284</v>
      </c>
      <c r="BB29" s="301" t="s">
        <v>284</v>
      </c>
      <c r="BN29" s="301" t="s">
        <v>284</v>
      </c>
      <c r="BZ29" s="301" t="s">
        <v>284</v>
      </c>
      <c r="CL29" s="301" t="s">
        <v>284</v>
      </c>
      <c r="CX29" s="301" t="s">
        <v>284</v>
      </c>
      <c r="DJ29" s="301" t="s">
        <v>284</v>
      </c>
      <c r="DV29" s="301" t="s">
        <v>284</v>
      </c>
      <c r="EH29" s="301" t="s">
        <v>284</v>
      </c>
      <c r="EU29" s="301" t="s">
        <v>284</v>
      </c>
      <c r="FG29" s="301" t="s">
        <v>284</v>
      </c>
      <c r="FS29" s="301" t="s">
        <v>284</v>
      </c>
      <c r="GE29" s="301" t="s">
        <v>284</v>
      </c>
      <c r="GQ29" s="301" t="s">
        <v>284</v>
      </c>
      <c r="HC29" s="301" t="s">
        <v>284</v>
      </c>
      <c r="HO29" s="301" t="s">
        <v>284</v>
      </c>
      <c r="IA29" s="301" t="s">
        <v>284</v>
      </c>
    </row>
    <row r="31" spans="3:242">
      <c r="C31" s="302" t="s">
        <v>285</v>
      </c>
      <c r="O31" s="302" t="s">
        <v>285</v>
      </c>
      <c r="AA31" s="302" t="s">
        <v>285</v>
      </c>
      <c r="AM31" s="302" t="s">
        <v>285</v>
      </c>
      <c r="AY31" s="302" t="s">
        <v>285</v>
      </c>
      <c r="BK31" s="302" t="s">
        <v>285</v>
      </c>
      <c r="BW31" s="302" t="s">
        <v>285</v>
      </c>
      <c r="CI31" s="302" t="s">
        <v>285</v>
      </c>
      <c r="CU31" s="302" t="s">
        <v>285</v>
      </c>
      <c r="DG31" s="302" t="s">
        <v>285</v>
      </c>
      <c r="DS31" s="302" t="s">
        <v>285</v>
      </c>
      <c r="EE31" s="302" t="s">
        <v>285</v>
      </c>
      <c r="ER31" s="302" t="s">
        <v>285</v>
      </c>
      <c r="FD31" s="302" t="s">
        <v>285</v>
      </c>
      <c r="FP31" s="302" t="s">
        <v>285</v>
      </c>
      <c r="GB31" s="302" t="s">
        <v>285</v>
      </c>
      <c r="GN31" s="302" t="s">
        <v>285</v>
      </c>
      <c r="GZ31" s="302" t="s">
        <v>285</v>
      </c>
      <c r="HL31" s="302" t="s">
        <v>285</v>
      </c>
      <c r="HX31" s="302" t="s">
        <v>285</v>
      </c>
    </row>
    <row r="32" spans="3:242">
      <c r="C32" s="301" t="s">
        <v>286</v>
      </c>
      <c r="O32" s="301" t="s">
        <v>286</v>
      </c>
      <c r="AA32" s="301" t="s">
        <v>286</v>
      </c>
      <c r="AM32" s="301" t="s">
        <v>286</v>
      </c>
      <c r="AY32" s="301" t="s">
        <v>286</v>
      </c>
      <c r="BK32" s="301" t="s">
        <v>286</v>
      </c>
      <c r="BW32" s="301" t="s">
        <v>286</v>
      </c>
      <c r="CI32" s="301" t="s">
        <v>286</v>
      </c>
      <c r="CU32" s="301" t="s">
        <v>286</v>
      </c>
      <c r="DG32" s="301" t="s">
        <v>286</v>
      </c>
      <c r="DS32" s="301" t="s">
        <v>286</v>
      </c>
      <c r="EE32" s="301" t="s">
        <v>286</v>
      </c>
      <c r="ER32" s="301" t="s">
        <v>286</v>
      </c>
      <c r="FD32" s="301" t="s">
        <v>286</v>
      </c>
      <c r="FP32" s="301" t="s">
        <v>286</v>
      </c>
      <c r="GB32" s="301" t="s">
        <v>286</v>
      </c>
      <c r="GN32" s="301" t="s">
        <v>286</v>
      </c>
      <c r="GZ32" s="301" t="s">
        <v>286</v>
      </c>
      <c r="HL32" s="301" t="s">
        <v>286</v>
      </c>
      <c r="HX32" s="301" t="s">
        <v>286</v>
      </c>
    </row>
    <row r="34" spans="3:238">
      <c r="C34" s="301" t="s">
        <v>287</v>
      </c>
      <c r="O34" s="301" t="s">
        <v>287</v>
      </c>
      <c r="AA34" s="301" t="s">
        <v>287</v>
      </c>
      <c r="AM34" s="301" t="s">
        <v>287</v>
      </c>
      <c r="AY34" s="301" t="s">
        <v>287</v>
      </c>
      <c r="BK34" s="301" t="s">
        <v>287</v>
      </c>
      <c r="BW34" s="301" t="s">
        <v>287</v>
      </c>
      <c r="CI34" s="301" t="s">
        <v>287</v>
      </c>
      <c r="CU34" s="301" t="s">
        <v>287</v>
      </c>
      <c r="DG34" s="301" t="s">
        <v>287</v>
      </c>
      <c r="DS34" s="301" t="s">
        <v>287</v>
      </c>
      <c r="EE34" s="301" t="s">
        <v>287</v>
      </c>
      <c r="ER34" s="301" t="s">
        <v>287</v>
      </c>
      <c r="FD34" s="301" t="s">
        <v>287</v>
      </c>
      <c r="FP34" s="301" t="s">
        <v>287</v>
      </c>
      <c r="GB34" s="301" t="s">
        <v>287</v>
      </c>
      <c r="GN34" s="301" t="s">
        <v>287</v>
      </c>
      <c r="GZ34" s="301" t="s">
        <v>287</v>
      </c>
      <c r="HL34" s="301" t="s">
        <v>287</v>
      </c>
      <c r="HX34" s="301" t="s">
        <v>287</v>
      </c>
    </row>
    <row r="37" spans="3:238">
      <c r="I37" s="301" t="s">
        <v>288</v>
      </c>
      <c r="U37" s="301" t="s">
        <v>288</v>
      </c>
      <c r="AG37" s="301" t="s">
        <v>288</v>
      </c>
      <c r="AS37" s="301" t="s">
        <v>288</v>
      </c>
      <c r="BE37" s="301" t="s">
        <v>288</v>
      </c>
      <c r="BQ37" s="301" t="s">
        <v>288</v>
      </c>
      <c r="CC37" s="301" t="s">
        <v>288</v>
      </c>
      <c r="CO37" s="301" t="s">
        <v>288</v>
      </c>
      <c r="DA37" s="301" t="s">
        <v>288</v>
      </c>
      <c r="DM37" s="301" t="s">
        <v>288</v>
      </c>
      <c r="DY37" s="301" t="s">
        <v>288</v>
      </c>
      <c r="EK37" s="301" t="s">
        <v>288</v>
      </c>
      <c r="EX37" s="301" t="s">
        <v>288</v>
      </c>
      <c r="FJ37" s="301" t="s">
        <v>288</v>
      </c>
      <c r="FV37" s="301" t="s">
        <v>288</v>
      </c>
      <c r="GH37" s="301" t="s">
        <v>288</v>
      </c>
      <c r="GT37" s="301" t="s">
        <v>288</v>
      </c>
      <c r="HF37" s="301" t="s">
        <v>288</v>
      </c>
      <c r="HR37" s="301" t="s">
        <v>288</v>
      </c>
      <c r="ID37" s="301" t="s">
        <v>288</v>
      </c>
    </row>
    <row r="41" spans="3:238">
      <c r="I41" s="300" t="str">
        <f>Signatories!C11</f>
        <v>SM HELBERT ANTOINE A. ACHAY</v>
      </c>
      <c r="U41" s="300" t="str">
        <f>I41</f>
        <v>SM HELBERT ANTOINE A. ACHAY</v>
      </c>
      <c r="AG41" s="300" t="str">
        <f>U41</f>
        <v>SM HELBERT ANTOINE A. ACHAY</v>
      </c>
      <c r="AS41" s="300" t="str">
        <f>AG41</f>
        <v>SM HELBERT ANTOINE A. ACHAY</v>
      </c>
      <c r="BE41" s="300" t="str">
        <f>AS41</f>
        <v>SM HELBERT ANTOINE A. ACHAY</v>
      </c>
      <c r="BQ41" s="300" t="str">
        <f>BE41</f>
        <v>SM HELBERT ANTOINE A. ACHAY</v>
      </c>
      <c r="CC41" s="300" t="str">
        <f>BQ41</f>
        <v>SM HELBERT ANTOINE A. ACHAY</v>
      </c>
      <c r="CO41" s="300" t="str">
        <f>CC41</f>
        <v>SM HELBERT ANTOINE A. ACHAY</v>
      </c>
      <c r="DA41" s="300" t="str">
        <f>CO41</f>
        <v>SM HELBERT ANTOINE A. ACHAY</v>
      </c>
      <c r="DM41" s="300" t="str">
        <f>DA41</f>
        <v>SM HELBERT ANTOINE A. ACHAY</v>
      </c>
      <c r="DY41" s="300" t="str">
        <f>DM41</f>
        <v>SM HELBERT ANTOINE A. ACHAY</v>
      </c>
      <c r="EK41" s="300" t="str">
        <f>DY41</f>
        <v>SM HELBERT ANTOINE A. ACHAY</v>
      </c>
      <c r="EX41" s="300" t="str">
        <f>EK41</f>
        <v>SM HELBERT ANTOINE A. ACHAY</v>
      </c>
      <c r="FJ41" s="300" t="str">
        <f>EX41</f>
        <v>SM HELBERT ANTOINE A. ACHAY</v>
      </c>
      <c r="FV41" s="300" t="str">
        <f>FJ41</f>
        <v>SM HELBERT ANTOINE A. ACHAY</v>
      </c>
      <c r="GH41" s="300" t="str">
        <f>FV41</f>
        <v>SM HELBERT ANTOINE A. ACHAY</v>
      </c>
      <c r="GT41" s="300" t="str">
        <f>GH41</f>
        <v>SM HELBERT ANTOINE A. ACHAY</v>
      </c>
      <c r="HF41" s="300" t="str">
        <f>GT41</f>
        <v>SM HELBERT ANTOINE A. ACHAY</v>
      </c>
      <c r="HR41" s="300" t="str">
        <f>HF41</f>
        <v>SM HELBERT ANTOINE A. ACHAY</v>
      </c>
      <c r="ID41" s="300" t="str">
        <f>HR41</f>
        <v>SM HELBERT ANTOINE A. ACHAY</v>
      </c>
    </row>
    <row r="42" spans="3:238">
      <c r="I42" s="301" t="s">
        <v>289</v>
      </c>
      <c r="U42" s="301" t="s">
        <v>289</v>
      </c>
      <c r="AG42" s="301" t="s">
        <v>289</v>
      </c>
      <c r="AS42" s="301" t="s">
        <v>289</v>
      </c>
      <c r="BE42" s="301" t="s">
        <v>289</v>
      </c>
      <c r="BQ42" s="301" t="s">
        <v>289</v>
      </c>
      <c r="CC42" s="301" t="s">
        <v>289</v>
      </c>
      <c r="CO42" s="301" t="s">
        <v>289</v>
      </c>
      <c r="DA42" s="301" t="s">
        <v>289</v>
      </c>
      <c r="DM42" s="301" t="s">
        <v>289</v>
      </c>
      <c r="DY42" s="301" t="s">
        <v>289</v>
      </c>
      <c r="EK42" s="301" t="s">
        <v>289</v>
      </c>
      <c r="EX42" s="301" t="s">
        <v>289</v>
      </c>
      <c r="FJ42" s="301" t="s">
        <v>289</v>
      </c>
      <c r="FV42" s="301" t="s">
        <v>289</v>
      </c>
      <c r="GH42" s="301" t="s">
        <v>289</v>
      </c>
      <c r="GT42" s="301" t="s">
        <v>289</v>
      </c>
      <c r="HF42" s="301" t="s">
        <v>289</v>
      </c>
      <c r="HR42" s="301" t="s">
        <v>289</v>
      </c>
      <c r="ID42" s="301" t="s">
        <v>289</v>
      </c>
    </row>
    <row r="49" spans="3:243" ht="15" customHeight="1">
      <c r="F49" s="735" t="s">
        <v>292</v>
      </c>
      <c r="G49" s="735"/>
      <c r="H49" s="735"/>
      <c r="I49" s="735"/>
      <c r="J49" s="735"/>
      <c r="K49" s="735"/>
      <c r="R49" s="735" t="s">
        <v>292</v>
      </c>
      <c r="S49" s="735"/>
      <c r="T49" s="735"/>
      <c r="U49" s="735"/>
      <c r="V49" s="735"/>
      <c r="W49" s="735"/>
      <c r="AD49" s="735" t="s">
        <v>292</v>
      </c>
      <c r="AE49" s="735"/>
      <c r="AF49" s="735"/>
      <c r="AG49" s="735"/>
      <c r="AH49" s="735"/>
      <c r="AI49" s="735"/>
      <c r="AP49" s="735" t="s">
        <v>292</v>
      </c>
      <c r="AQ49" s="735"/>
      <c r="AR49" s="735"/>
      <c r="AS49" s="735"/>
      <c r="AT49" s="735"/>
      <c r="AU49" s="735"/>
      <c r="BB49" s="735" t="s">
        <v>292</v>
      </c>
      <c r="BC49" s="735"/>
      <c r="BD49" s="735"/>
      <c r="BE49" s="735"/>
      <c r="BF49" s="735"/>
      <c r="BG49" s="735"/>
      <c r="BN49" s="735" t="s">
        <v>292</v>
      </c>
      <c r="BO49" s="735"/>
      <c r="BP49" s="735"/>
      <c r="BQ49" s="735"/>
      <c r="BR49" s="735"/>
      <c r="BS49" s="735"/>
      <c r="BZ49" s="735" t="s">
        <v>292</v>
      </c>
      <c r="CA49" s="735"/>
      <c r="CB49" s="735"/>
      <c r="CC49" s="735"/>
      <c r="CD49" s="735"/>
      <c r="CE49" s="735"/>
      <c r="CL49" s="735" t="s">
        <v>292</v>
      </c>
      <c r="CM49" s="735"/>
      <c r="CN49" s="735"/>
      <c r="CO49" s="735"/>
      <c r="CP49" s="735"/>
      <c r="CQ49" s="735"/>
      <c r="CX49" s="735" t="s">
        <v>292</v>
      </c>
      <c r="CY49" s="735"/>
      <c r="CZ49" s="735"/>
      <c r="DA49" s="735"/>
      <c r="DB49" s="735"/>
      <c r="DC49" s="735"/>
      <c r="DJ49" s="735" t="s">
        <v>292</v>
      </c>
      <c r="DK49" s="735"/>
      <c r="DL49" s="735"/>
      <c r="DM49" s="735"/>
      <c r="DN49" s="735"/>
      <c r="DO49" s="735"/>
      <c r="DV49" s="735" t="s">
        <v>292</v>
      </c>
      <c r="DW49" s="735"/>
      <c r="DX49" s="735"/>
      <c r="DY49" s="735"/>
      <c r="DZ49" s="735"/>
      <c r="EA49" s="735"/>
      <c r="EH49" s="735" t="s">
        <v>292</v>
      </c>
      <c r="EI49" s="735"/>
      <c r="EJ49" s="735"/>
      <c r="EK49" s="735"/>
      <c r="EL49" s="735"/>
      <c r="EM49" s="735"/>
      <c r="EU49" s="735" t="s">
        <v>292</v>
      </c>
      <c r="EV49" s="735"/>
      <c r="EW49" s="735"/>
      <c r="EX49" s="735"/>
      <c r="EY49" s="735"/>
      <c r="EZ49" s="735"/>
      <c r="FG49" s="735" t="s">
        <v>292</v>
      </c>
      <c r="FH49" s="735"/>
      <c r="FI49" s="735"/>
      <c r="FJ49" s="735"/>
      <c r="FK49" s="735"/>
      <c r="FL49" s="735"/>
      <c r="FS49" s="735" t="s">
        <v>292</v>
      </c>
      <c r="FT49" s="735"/>
      <c r="FU49" s="735"/>
      <c r="FV49" s="735"/>
      <c r="FW49" s="735"/>
      <c r="FX49" s="735"/>
      <c r="GE49" s="735" t="s">
        <v>292</v>
      </c>
      <c r="GF49" s="735"/>
      <c r="GG49" s="735"/>
      <c r="GH49" s="735"/>
      <c r="GI49" s="735"/>
      <c r="GJ49" s="735"/>
      <c r="GQ49" s="735" t="s">
        <v>292</v>
      </c>
      <c r="GR49" s="735"/>
      <c r="GS49" s="735"/>
      <c r="GT49" s="735"/>
      <c r="GU49" s="735"/>
      <c r="GV49" s="735"/>
      <c r="HC49" s="735" t="s">
        <v>292</v>
      </c>
      <c r="HD49" s="735"/>
      <c r="HE49" s="735"/>
      <c r="HF49" s="735"/>
      <c r="HG49" s="735"/>
      <c r="HH49" s="735"/>
      <c r="HO49" s="735" t="s">
        <v>292</v>
      </c>
      <c r="HP49" s="735"/>
      <c r="HQ49" s="735"/>
      <c r="HR49" s="735"/>
      <c r="HS49" s="735"/>
      <c r="HT49" s="735"/>
      <c r="IA49" s="735" t="s">
        <v>292</v>
      </c>
      <c r="IB49" s="735"/>
      <c r="IC49" s="735"/>
      <c r="ID49" s="735"/>
      <c r="IE49" s="735"/>
      <c r="IF49" s="735"/>
    </row>
    <row r="50" spans="3:243" ht="15.75" customHeight="1" thickBot="1">
      <c r="F50" s="736"/>
      <c r="G50" s="736"/>
      <c r="H50" s="736"/>
      <c r="I50" s="736"/>
      <c r="J50" s="736"/>
      <c r="K50" s="736"/>
      <c r="R50" s="736"/>
      <c r="S50" s="736"/>
      <c r="T50" s="736"/>
      <c r="U50" s="736"/>
      <c r="V50" s="736"/>
      <c r="W50" s="736"/>
      <c r="AD50" s="736"/>
      <c r="AE50" s="736"/>
      <c r="AF50" s="736"/>
      <c r="AG50" s="736"/>
      <c r="AH50" s="736"/>
      <c r="AI50" s="736"/>
      <c r="AP50" s="736"/>
      <c r="AQ50" s="736"/>
      <c r="AR50" s="736"/>
      <c r="AS50" s="736"/>
      <c r="AT50" s="736"/>
      <c r="AU50" s="736"/>
      <c r="BB50" s="736"/>
      <c r="BC50" s="736"/>
      <c r="BD50" s="736"/>
      <c r="BE50" s="736"/>
      <c r="BF50" s="736"/>
      <c r="BG50" s="736"/>
      <c r="BN50" s="736"/>
      <c r="BO50" s="736"/>
      <c r="BP50" s="736"/>
      <c r="BQ50" s="736"/>
      <c r="BR50" s="736"/>
      <c r="BS50" s="736"/>
      <c r="BZ50" s="736"/>
      <c r="CA50" s="736"/>
      <c r="CB50" s="736"/>
      <c r="CC50" s="736"/>
      <c r="CD50" s="736"/>
      <c r="CE50" s="736"/>
      <c r="CL50" s="736"/>
      <c r="CM50" s="736"/>
      <c r="CN50" s="736"/>
      <c r="CO50" s="736"/>
      <c r="CP50" s="736"/>
      <c r="CQ50" s="736"/>
      <c r="CX50" s="736"/>
      <c r="CY50" s="736"/>
      <c r="CZ50" s="736"/>
      <c r="DA50" s="736"/>
      <c r="DB50" s="736"/>
      <c r="DC50" s="736"/>
      <c r="DJ50" s="736"/>
      <c r="DK50" s="736"/>
      <c r="DL50" s="736"/>
      <c r="DM50" s="736"/>
      <c r="DN50" s="736"/>
      <c r="DO50" s="736"/>
      <c r="DV50" s="736"/>
      <c r="DW50" s="736"/>
      <c r="DX50" s="736"/>
      <c r="DY50" s="736"/>
      <c r="DZ50" s="736"/>
      <c r="EA50" s="736"/>
      <c r="EH50" s="736"/>
      <c r="EI50" s="736"/>
      <c r="EJ50" s="736"/>
      <c r="EK50" s="736"/>
      <c r="EL50" s="736"/>
      <c r="EM50" s="736"/>
      <c r="EU50" s="736"/>
      <c r="EV50" s="736"/>
      <c r="EW50" s="736"/>
      <c r="EX50" s="736"/>
      <c r="EY50" s="736"/>
      <c r="EZ50" s="736"/>
      <c r="FG50" s="736"/>
      <c r="FH50" s="736"/>
      <c r="FI50" s="736"/>
      <c r="FJ50" s="736"/>
      <c r="FK50" s="736"/>
      <c r="FL50" s="736"/>
      <c r="FS50" s="736"/>
      <c r="FT50" s="736"/>
      <c r="FU50" s="736"/>
      <c r="FV50" s="736"/>
      <c r="FW50" s="736"/>
      <c r="FX50" s="736"/>
      <c r="GE50" s="736"/>
      <c r="GF50" s="736"/>
      <c r="GG50" s="736"/>
      <c r="GH50" s="736"/>
      <c r="GI50" s="736"/>
      <c r="GJ50" s="736"/>
      <c r="GQ50" s="736"/>
      <c r="GR50" s="736"/>
      <c r="GS50" s="736"/>
      <c r="GT50" s="736"/>
      <c r="GU50" s="736"/>
      <c r="GV50" s="736"/>
      <c r="HC50" s="736"/>
      <c r="HD50" s="736"/>
      <c r="HE50" s="736"/>
      <c r="HF50" s="736"/>
      <c r="HG50" s="736"/>
      <c r="HH50" s="736"/>
      <c r="HO50" s="736"/>
      <c r="HP50" s="736"/>
      <c r="HQ50" s="736"/>
      <c r="HR50" s="736"/>
      <c r="HS50" s="736"/>
      <c r="HT50" s="736"/>
      <c r="IA50" s="736"/>
      <c r="IB50" s="736"/>
      <c r="IC50" s="736"/>
      <c r="ID50" s="736"/>
      <c r="IE50" s="736"/>
      <c r="IF50" s="736"/>
    </row>
    <row r="51" spans="3:243" ht="14.5" thickTop="1"/>
    <row r="54" spans="3:243" ht="20">
      <c r="C54" s="737" t="s">
        <v>307</v>
      </c>
      <c r="D54" s="737"/>
      <c r="E54" s="737"/>
      <c r="F54" s="737"/>
      <c r="G54" s="737"/>
      <c r="H54" s="737"/>
      <c r="I54" s="737"/>
      <c r="J54" s="737"/>
      <c r="K54" s="737"/>
      <c r="L54" s="737"/>
      <c r="M54" s="737"/>
      <c r="N54" s="737"/>
      <c r="O54" s="737" t="s">
        <v>307</v>
      </c>
      <c r="P54" s="737"/>
      <c r="Q54" s="737"/>
      <c r="R54" s="737"/>
      <c r="S54" s="737"/>
      <c r="T54" s="737"/>
      <c r="U54" s="737"/>
      <c r="V54" s="737"/>
      <c r="W54" s="737"/>
      <c r="X54" s="737"/>
      <c r="Y54" s="737"/>
      <c r="Z54" s="737"/>
      <c r="AA54" s="737" t="s">
        <v>307</v>
      </c>
      <c r="AB54" s="737"/>
      <c r="AC54" s="737"/>
      <c r="AD54" s="737"/>
      <c r="AE54" s="737"/>
      <c r="AF54" s="737"/>
      <c r="AG54" s="737"/>
      <c r="AH54" s="737"/>
      <c r="AI54" s="737"/>
      <c r="AJ54" s="737"/>
      <c r="AK54" s="737"/>
      <c r="AL54" s="737"/>
      <c r="AM54" s="737" t="s">
        <v>307</v>
      </c>
      <c r="AN54" s="737"/>
      <c r="AO54" s="737"/>
      <c r="AP54" s="737"/>
      <c r="AQ54" s="737"/>
      <c r="AR54" s="737"/>
      <c r="AS54" s="737"/>
      <c r="AT54" s="737"/>
      <c r="AU54" s="737"/>
      <c r="AV54" s="737"/>
      <c r="AW54" s="737"/>
      <c r="AX54" s="737"/>
      <c r="AY54" s="737" t="s">
        <v>307</v>
      </c>
      <c r="AZ54" s="737"/>
      <c r="BA54" s="737"/>
      <c r="BB54" s="737"/>
      <c r="BC54" s="737"/>
      <c r="BD54" s="737"/>
      <c r="BE54" s="737"/>
      <c r="BF54" s="737"/>
      <c r="BG54" s="737"/>
      <c r="BH54" s="737"/>
      <c r="BI54" s="737"/>
      <c r="BJ54" s="737"/>
      <c r="BK54" s="737" t="s">
        <v>307</v>
      </c>
      <c r="BL54" s="737"/>
      <c r="BM54" s="737"/>
      <c r="BN54" s="737"/>
      <c r="BO54" s="737"/>
      <c r="BP54" s="737"/>
      <c r="BQ54" s="737"/>
      <c r="BR54" s="737"/>
      <c r="BS54" s="737"/>
      <c r="BT54" s="737"/>
      <c r="BU54" s="737"/>
      <c r="BV54" s="737"/>
      <c r="BW54" s="737" t="s">
        <v>307</v>
      </c>
      <c r="BX54" s="737"/>
      <c r="BY54" s="737"/>
      <c r="BZ54" s="737"/>
      <c r="CA54" s="737"/>
      <c r="CB54" s="737"/>
      <c r="CC54" s="737"/>
      <c r="CD54" s="737"/>
      <c r="CE54" s="737"/>
      <c r="CF54" s="737"/>
      <c r="CG54" s="737"/>
      <c r="CH54" s="737"/>
      <c r="CI54" s="737" t="s">
        <v>307</v>
      </c>
      <c r="CJ54" s="737"/>
      <c r="CK54" s="737"/>
      <c r="CL54" s="737"/>
      <c r="CM54" s="737"/>
      <c r="CN54" s="737"/>
      <c r="CO54" s="737"/>
      <c r="CP54" s="737"/>
      <c r="CQ54" s="737"/>
      <c r="CR54" s="737"/>
      <c r="CS54" s="737"/>
      <c r="CT54" s="737"/>
      <c r="CU54" s="737" t="s">
        <v>307</v>
      </c>
      <c r="CV54" s="737"/>
      <c r="CW54" s="737"/>
      <c r="CX54" s="737"/>
      <c r="CY54" s="737"/>
      <c r="CZ54" s="737"/>
      <c r="DA54" s="737"/>
      <c r="DB54" s="737"/>
      <c r="DC54" s="737"/>
      <c r="DD54" s="737"/>
      <c r="DE54" s="737"/>
      <c r="DF54" s="737"/>
      <c r="DG54" s="737" t="s">
        <v>307</v>
      </c>
      <c r="DH54" s="737"/>
      <c r="DI54" s="737"/>
      <c r="DJ54" s="737"/>
      <c r="DK54" s="737"/>
      <c r="DL54" s="737"/>
      <c r="DM54" s="737"/>
      <c r="DN54" s="737"/>
      <c r="DO54" s="737"/>
      <c r="DP54" s="737"/>
      <c r="DQ54" s="737"/>
      <c r="DR54" s="737"/>
      <c r="DS54" s="737" t="s">
        <v>307</v>
      </c>
      <c r="DT54" s="737"/>
      <c r="DU54" s="737"/>
      <c r="DV54" s="737"/>
      <c r="DW54" s="737"/>
      <c r="DX54" s="737"/>
      <c r="DY54" s="737"/>
      <c r="DZ54" s="737"/>
      <c r="EA54" s="737"/>
      <c r="EB54" s="737"/>
      <c r="EC54" s="737"/>
      <c r="ED54" s="737"/>
      <c r="EE54" s="737" t="s">
        <v>307</v>
      </c>
      <c r="EF54" s="737"/>
      <c r="EG54" s="737"/>
      <c r="EH54" s="737"/>
      <c r="EI54" s="737"/>
      <c r="EJ54" s="737"/>
      <c r="EK54" s="737"/>
      <c r="EL54" s="737"/>
      <c r="EM54" s="737"/>
      <c r="EN54" s="737"/>
      <c r="EO54" s="737"/>
      <c r="EP54" s="737"/>
      <c r="ER54" s="737" t="s">
        <v>307</v>
      </c>
      <c r="ES54" s="737"/>
      <c r="ET54" s="737"/>
      <c r="EU54" s="737"/>
      <c r="EV54" s="737"/>
      <c r="EW54" s="737"/>
      <c r="EX54" s="737"/>
      <c r="EY54" s="737"/>
      <c r="EZ54" s="737"/>
      <c r="FA54" s="737"/>
      <c r="FB54" s="737"/>
      <c r="FC54" s="737"/>
      <c r="FD54" s="737" t="s">
        <v>307</v>
      </c>
      <c r="FE54" s="737"/>
      <c r="FF54" s="737"/>
      <c r="FG54" s="737"/>
      <c r="FH54" s="737"/>
      <c r="FI54" s="737"/>
      <c r="FJ54" s="737"/>
      <c r="FK54" s="737"/>
      <c r="FL54" s="737"/>
      <c r="FM54" s="737"/>
      <c r="FN54" s="737"/>
      <c r="FO54" s="737"/>
      <c r="FP54" s="737" t="s">
        <v>307</v>
      </c>
      <c r="FQ54" s="737"/>
      <c r="FR54" s="737"/>
      <c r="FS54" s="737"/>
      <c r="FT54" s="737"/>
      <c r="FU54" s="737"/>
      <c r="FV54" s="737"/>
      <c r="FW54" s="737"/>
      <c r="FX54" s="737"/>
      <c r="FY54" s="737"/>
      <c r="FZ54" s="737"/>
      <c r="GA54" s="737"/>
      <c r="GB54" s="737" t="s">
        <v>307</v>
      </c>
      <c r="GC54" s="737"/>
      <c r="GD54" s="737"/>
      <c r="GE54" s="737"/>
      <c r="GF54" s="737"/>
      <c r="GG54" s="737"/>
      <c r="GH54" s="737"/>
      <c r="GI54" s="737"/>
      <c r="GJ54" s="737"/>
      <c r="GK54" s="737"/>
      <c r="GL54" s="737"/>
      <c r="GM54" s="737"/>
      <c r="GN54" s="737" t="s">
        <v>307</v>
      </c>
      <c r="GO54" s="737"/>
      <c r="GP54" s="737"/>
      <c r="GQ54" s="737"/>
      <c r="GR54" s="737"/>
      <c r="GS54" s="737"/>
      <c r="GT54" s="737"/>
      <c r="GU54" s="737"/>
      <c r="GV54" s="737"/>
      <c r="GW54" s="737"/>
      <c r="GX54" s="737"/>
      <c r="GY54" s="737"/>
      <c r="GZ54" s="737" t="s">
        <v>307</v>
      </c>
      <c r="HA54" s="737"/>
      <c r="HB54" s="737"/>
      <c r="HC54" s="737"/>
      <c r="HD54" s="737"/>
      <c r="HE54" s="737"/>
      <c r="HF54" s="737"/>
      <c r="HG54" s="737"/>
      <c r="HH54" s="737"/>
      <c r="HI54" s="737"/>
      <c r="HJ54" s="737"/>
      <c r="HK54" s="737"/>
      <c r="HL54" s="737" t="s">
        <v>307</v>
      </c>
      <c r="HM54" s="737"/>
      <c r="HN54" s="737"/>
      <c r="HO54" s="737"/>
      <c r="HP54" s="737"/>
      <c r="HQ54" s="737"/>
      <c r="HR54" s="737"/>
      <c r="HS54" s="737"/>
      <c r="HT54" s="737"/>
      <c r="HU54" s="737"/>
      <c r="HV54" s="737"/>
      <c r="HW54" s="737"/>
      <c r="HX54" s="737" t="s">
        <v>307</v>
      </c>
      <c r="HY54" s="737"/>
      <c r="HZ54" s="737"/>
      <c r="IA54" s="737"/>
      <c r="IB54" s="737"/>
      <c r="IC54" s="737"/>
      <c r="ID54" s="737"/>
      <c r="IE54" s="737"/>
      <c r="IF54" s="737"/>
      <c r="IG54" s="737"/>
      <c r="IH54" s="737"/>
      <c r="II54" s="737"/>
    </row>
    <row r="55" spans="3:243" ht="20"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318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 s="318"/>
      <c r="BJ55" s="318"/>
      <c r="BK55" s="318"/>
      <c r="BL55" s="318"/>
      <c r="BM55" s="318"/>
      <c r="BN55" s="318"/>
      <c r="BO55" s="318"/>
      <c r="BP55" s="318"/>
      <c r="BQ55" s="318"/>
      <c r="BR55" s="318"/>
      <c r="BS55" s="318"/>
      <c r="BT55" s="318"/>
      <c r="BU55" s="318"/>
      <c r="BV55" s="318"/>
      <c r="BW55" s="318"/>
      <c r="BX55" s="318"/>
      <c r="BY55" s="318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  <c r="CQ55" s="318"/>
      <c r="CR55" s="318"/>
      <c r="CS55" s="318"/>
      <c r="CT55" s="318"/>
      <c r="CU55" s="318"/>
      <c r="CV55" s="318"/>
      <c r="CW55" s="318"/>
      <c r="CX55" s="318"/>
      <c r="CY55" s="318"/>
      <c r="CZ55" s="318"/>
      <c r="DA55" s="318"/>
      <c r="DB55" s="318"/>
      <c r="DC55" s="318"/>
      <c r="DD55" s="318"/>
      <c r="DE55" s="318"/>
      <c r="DF55" s="318"/>
      <c r="DG55" s="318"/>
      <c r="DH55" s="318"/>
      <c r="DI55" s="318"/>
      <c r="DJ55" s="318"/>
      <c r="DK55" s="318"/>
      <c r="DL55" s="318"/>
      <c r="DM55" s="318"/>
      <c r="DN55" s="318"/>
      <c r="DO55" s="318"/>
      <c r="DP55" s="318"/>
      <c r="DQ55" s="318"/>
      <c r="DR55" s="318"/>
      <c r="DS55" s="318"/>
      <c r="DT55" s="318"/>
      <c r="DU55" s="318"/>
      <c r="DV55" s="318"/>
      <c r="DW55" s="318"/>
      <c r="DX55" s="318"/>
      <c r="DY55" s="318"/>
      <c r="DZ55" s="318"/>
      <c r="EA55" s="318"/>
      <c r="EB55" s="318"/>
      <c r="EC55" s="318"/>
      <c r="ED55" s="318"/>
      <c r="EE55" s="318"/>
      <c r="EF55" s="318"/>
      <c r="EG55" s="318"/>
      <c r="EH55" s="318"/>
      <c r="EI55" s="318"/>
      <c r="EJ55" s="318"/>
      <c r="EK55" s="318"/>
      <c r="EL55" s="318"/>
      <c r="EM55" s="318"/>
      <c r="EN55" s="318"/>
      <c r="EO55" s="318"/>
      <c r="EP55" s="318"/>
      <c r="ER55" s="318"/>
      <c r="ES55" s="318"/>
      <c r="ET55" s="318"/>
      <c r="EU55" s="318"/>
      <c r="EV55" s="318"/>
      <c r="EW55" s="318"/>
      <c r="EX55" s="318"/>
      <c r="EY55" s="318"/>
      <c r="EZ55" s="318"/>
      <c r="FA55" s="318"/>
      <c r="FB55" s="318"/>
      <c r="FC55" s="318"/>
      <c r="FD55" s="318"/>
      <c r="FE55" s="318"/>
      <c r="FF55" s="318"/>
      <c r="FG55" s="318"/>
      <c r="FH55" s="318"/>
      <c r="FI55" s="318"/>
      <c r="FJ55" s="318"/>
      <c r="FK55" s="318"/>
      <c r="FL55" s="318"/>
      <c r="FM55" s="318"/>
      <c r="FN55" s="318"/>
      <c r="FO55" s="318"/>
      <c r="FP55" s="318"/>
      <c r="FQ55" s="318"/>
      <c r="FR55" s="318"/>
      <c r="FS55" s="318"/>
      <c r="FT55" s="318"/>
      <c r="FU55" s="318"/>
      <c r="FV55" s="318"/>
      <c r="FW55" s="318"/>
      <c r="FX55" s="318"/>
      <c r="FY55" s="318"/>
      <c r="FZ55" s="318"/>
      <c r="GA55" s="318"/>
      <c r="GB55" s="318"/>
      <c r="GC55" s="318"/>
      <c r="GD55" s="318"/>
      <c r="GE55" s="318"/>
      <c r="GF55" s="318"/>
      <c r="GG55" s="318"/>
      <c r="GH55" s="318"/>
      <c r="GI55" s="318"/>
      <c r="GJ55" s="318"/>
      <c r="GK55" s="318"/>
      <c r="GL55" s="318"/>
      <c r="GM55" s="318"/>
      <c r="GN55" s="318"/>
      <c r="GO55" s="318"/>
      <c r="GP55" s="318"/>
      <c r="GQ55" s="318"/>
      <c r="GR55" s="318"/>
      <c r="GS55" s="318"/>
      <c r="GT55" s="318"/>
      <c r="GU55" s="318"/>
      <c r="GV55" s="318"/>
      <c r="GW55" s="318"/>
      <c r="GX55" s="318"/>
      <c r="GY55" s="318"/>
      <c r="GZ55" s="318"/>
      <c r="HA55" s="318"/>
      <c r="HB55" s="318"/>
      <c r="HC55" s="318"/>
      <c r="HD55" s="318"/>
      <c r="HE55" s="318"/>
      <c r="HF55" s="318"/>
      <c r="HG55" s="318"/>
      <c r="HH55" s="318"/>
      <c r="HI55" s="318"/>
      <c r="HJ55" s="318"/>
      <c r="HK55" s="318"/>
      <c r="HL55" s="318"/>
      <c r="HM55" s="318"/>
      <c r="HN55" s="318"/>
      <c r="HO55" s="318"/>
      <c r="HP55" s="318"/>
      <c r="HQ55" s="318"/>
      <c r="HR55" s="318"/>
      <c r="HS55" s="318"/>
      <c r="HT55" s="318"/>
      <c r="HU55" s="318"/>
      <c r="HV55" s="318"/>
      <c r="HW55" s="318"/>
      <c r="HX55" s="318"/>
      <c r="HY55" s="318"/>
      <c r="HZ55" s="318"/>
      <c r="IA55" s="318"/>
      <c r="IB55" s="318"/>
      <c r="IC55" s="318"/>
      <c r="ID55" s="318"/>
      <c r="IE55" s="318"/>
      <c r="IF55" s="318"/>
      <c r="IG55" s="318"/>
      <c r="IH55" s="318"/>
      <c r="II55" s="318"/>
    </row>
    <row r="56" spans="3:243" ht="20"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18"/>
      <c r="BE56" s="318"/>
      <c r="BF56" s="318"/>
      <c r="BG56" s="318"/>
      <c r="BH56" s="318"/>
      <c r="BI56" s="318"/>
      <c r="BJ56" s="318"/>
      <c r="BK56" s="318"/>
      <c r="BL56" s="318"/>
      <c r="BM56" s="318"/>
      <c r="BN56" s="318"/>
      <c r="BO56" s="318"/>
      <c r="BP56" s="318"/>
      <c r="BQ56" s="318"/>
      <c r="BR56" s="318"/>
      <c r="BS56" s="318"/>
      <c r="BT56" s="318"/>
      <c r="BU56" s="318"/>
      <c r="BV56" s="318"/>
      <c r="BW56" s="318"/>
      <c r="BX56" s="318"/>
      <c r="BY56" s="318"/>
      <c r="BZ56" s="318"/>
      <c r="CA56" s="318"/>
      <c r="CB56" s="318"/>
      <c r="CC56" s="318"/>
      <c r="CD56" s="318"/>
      <c r="CE56" s="318"/>
      <c r="CF56" s="318"/>
      <c r="CG56" s="318"/>
      <c r="CH56" s="318"/>
      <c r="CI56" s="318"/>
      <c r="CJ56" s="318"/>
      <c r="CK56" s="318"/>
      <c r="CL56" s="318"/>
      <c r="CM56" s="318"/>
      <c r="CN56" s="318"/>
      <c r="CO56" s="318"/>
      <c r="CP56" s="318"/>
      <c r="CQ56" s="318"/>
      <c r="CR56" s="318"/>
      <c r="CS56" s="318"/>
      <c r="CT56" s="318"/>
      <c r="CU56" s="318"/>
      <c r="CV56" s="318"/>
      <c r="CW56" s="318"/>
      <c r="CX56" s="318"/>
      <c r="CY56" s="318"/>
      <c r="CZ56" s="318"/>
      <c r="DA56" s="318"/>
      <c r="DB56" s="318"/>
      <c r="DC56" s="318"/>
      <c r="DD56" s="318"/>
      <c r="DE56" s="318"/>
      <c r="DF56" s="318"/>
      <c r="DG56" s="318"/>
      <c r="DH56" s="318"/>
      <c r="DI56" s="318"/>
      <c r="DJ56" s="318"/>
      <c r="DK56" s="318"/>
      <c r="DL56" s="318"/>
      <c r="DM56" s="318"/>
      <c r="DN56" s="318"/>
      <c r="DO56" s="318"/>
      <c r="DP56" s="318"/>
      <c r="DQ56" s="318"/>
      <c r="DR56" s="318"/>
      <c r="DS56" s="318"/>
      <c r="DT56" s="318"/>
      <c r="DU56" s="318"/>
      <c r="DV56" s="318"/>
      <c r="DW56" s="318"/>
      <c r="DX56" s="318"/>
      <c r="DY56" s="318"/>
      <c r="DZ56" s="318"/>
      <c r="EA56" s="318"/>
      <c r="EB56" s="318"/>
      <c r="EC56" s="318"/>
      <c r="ED56" s="318"/>
      <c r="EE56" s="318"/>
      <c r="EF56" s="318"/>
      <c r="EG56" s="318"/>
      <c r="EH56" s="318"/>
      <c r="EI56" s="318"/>
      <c r="EJ56" s="318"/>
      <c r="EK56" s="318"/>
      <c r="EL56" s="318"/>
      <c r="EM56" s="318"/>
      <c r="EN56" s="318"/>
      <c r="EO56" s="318"/>
      <c r="EP56" s="318"/>
      <c r="ER56" s="318"/>
      <c r="ES56" s="318"/>
      <c r="ET56" s="318"/>
      <c r="EU56" s="318"/>
      <c r="EV56" s="318"/>
      <c r="EW56" s="318"/>
      <c r="EX56" s="318"/>
      <c r="EY56" s="318"/>
      <c r="EZ56" s="318"/>
      <c r="FA56" s="318"/>
      <c r="FB56" s="318"/>
      <c r="FC56" s="318"/>
      <c r="FD56" s="318"/>
      <c r="FE56" s="318"/>
      <c r="FF56" s="318"/>
      <c r="FG56" s="318"/>
      <c r="FH56" s="318"/>
      <c r="FI56" s="318"/>
      <c r="FJ56" s="318"/>
      <c r="FK56" s="318"/>
      <c r="FL56" s="318"/>
      <c r="FM56" s="318"/>
      <c r="FN56" s="318"/>
      <c r="FO56" s="318"/>
      <c r="FP56" s="318"/>
      <c r="FQ56" s="318"/>
      <c r="FR56" s="318"/>
      <c r="FS56" s="318"/>
      <c r="FT56" s="318"/>
      <c r="FU56" s="318"/>
      <c r="FV56" s="318"/>
      <c r="FW56" s="318"/>
      <c r="FX56" s="318"/>
      <c r="FY56" s="318"/>
      <c r="FZ56" s="318"/>
      <c r="GA56" s="318"/>
      <c r="GB56" s="318"/>
      <c r="GC56" s="318"/>
      <c r="GD56" s="318"/>
      <c r="GE56" s="318"/>
      <c r="GF56" s="318"/>
      <c r="GG56" s="318"/>
      <c r="GH56" s="318"/>
      <c r="GI56" s="318"/>
      <c r="GJ56" s="318"/>
      <c r="GK56" s="318"/>
      <c r="GL56" s="318"/>
      <c r="GM56" s="318"/>
      <c r="GN56" s="318"/>
      <c r="GO56" s="318"/>
      <c r="GP56" s="318"/>
      <c r="GQ56" s="318"/>
      <c r="GR56" s="318"/>
      <c r="GS56" s="318"/>
      <c r="GT56" s="318"/>
      <c r="GU56" s="318"/>
      <c r="GV56" s="318"/>
      <c r="GW56" s="318"/>
      <c r="GX56" s="318"/>
      <c r="GY56" s="318"/>
      <c r="GZ56" s="318"/>
      <c r="HA56" s="318"/>
      <c r="HB56" s="318"/>
      <c r="HC56" s="318"/>
      <c r="HD56" s="318"/>
      <c r="HE56" s="318"/>
      <c r="HF56" s="318"/>
      <c r="HG56" s="318"/>
      <c r="HH56" s="318"/>
      <c r="HI56" s="318"/>
      <c r="HJ56" s="318"/>
      <c r="HK56" s="318"/>
      <c r="HL56" s="318"/>
      <c r="HM56" s="318"/>
      <c r="HN56" s="318"/>
      <c r="HO56" s="318"/>
      <c r="HP56" s="318"/>
      <c r="HQ56" s="318"/>
      <c r="HR56" s="318"/>
      <c r="HS56" s="318"/>
      <c r="HT56" s="318"/>
      <c r="HU56" s="318"/>
      <c r="HV56" s="318"/>
      <c r="HW56" s="318"/>
      <c r="HX56" s="318"/>
      <c r="HY56" s="318"/>
      <c r="HZ56" s="318"/>
      <c r="IA56" s="318"/>
      <c r="IB56" s="318"/>
      <c r="IC56" s="318"/>
      <c r="ID56" s="318"/>
      <c r="IE56" s="318"/>
      <c r="IF56" s="318"/>
      <c r="IG56" s="318"/>
      <c r="IH56" s="318"/>
      <c r="II56" s="318"/>
    </row>
    <row r="57" spans="3:243">
      <c r="I57" s="308"/>
      <c r="J57" s="301" t="s">
        <v>308</v>
      </c>
      <c r="L57" s="311"/>
      <c r="M57" s="311"/>
      <c r="N57" s="311"/>
      <c r="U57" s="308"/>
      <c r="V57" s="301" t="s">
        <v>308</v>
      </c>
      <c r="X57" s="311"/>
      <c r="Y57" s="311"/>
      <c r="Z57" s="311"/>
      <c r="AG57" s="308"/>
      <c r="AH57" s="301" t="s">
        <v>308</v>
      </c>
      <c r="AJ57" s="311"/>
      <c r="AK57" s="311"/>
      <c r="AL57" s="311"/>
      <c r="AS57" s="308"/>
      <c r="AT57" s="301" t="s">
        <v>308</v>
      </c>
      <c r="AV57" s="311"/>
      <c r="AW57" s="311"/>
      <c r="AX57" s="311"/>
      <c r="BE57" s="308"/>
      <c r="BF57" s="301" t="s">
        <v>308</v>
      </c>
      <c r="BH57" s="311"/>
      <c r="BI57" s="311"/>
      <c r="BJ57" s="311"/>
      <c r="BQ57" s="308"/>
      <c r="BR57" s="301" t="s">
        <v>308</v>
      </c>
      <c r="BT57" s="311"/>
      <c r="BU57" s="311"/>
      <c r="BV57" s="311"/>
      <c r="CC57" s="308"/>
      <c r="CD57" s="301" t="s">
        <v>308</v>
      </c>
      <c r="CF57" s="311"/>
      <c r="CG57" s="311"/>
      <c r="CH57" s="311"/>
      <c r="CO57" s="308"/>
      <c r="CP57" s="301" t="s">
        <v>308</v>
      </c>
      <c r="CR57" s="311"/>
      <c r="CS57" s="311"/>
      <c r="CT57" s="311"/>
      <c r="DA57" s="308"/>
      <c r="DB57" s="301" t="s">
        <v>308</v>
      </c>
      <c r="DD57" s="311"/>
      <c r="DE57" s="311"/>
      <c r="DF57" s="311"/>
      <c r="DM57" s="308"/>
      <c r="DN57" s="301" t="s">
        <v>308</v>
      </c>
      <c r="DP57" s="311"/>
      <c r="DQ57" s="311"/>
      <c r="DR57" s="311"/>
      <c r="DY57" s="308"/>
      <c r="DZ57" s="301" t="s">
        <v>308</v>
      </c>
      <c r="EB57" s="311"/>
      <c r="EC57" s="311"/>
      <c r="ED57" s="311"/>
      <c r="EK57" s="308"/>
      <c r="EL57" s="301" t="s">
        <v>308</v>
      </c>
      <c r="EN57" s="311"/>
      <c r="EO57" s="311"/>
      <c r="EP57" s="311"/>
      <c r="EX57" s="308"/>
      <c r="EY57" s="301" t="s">
        <v>308</v>
      </c>
      <c r="FA57" s="311"/>
      <c r="FB57" s="311"/>
      <c r="FC57" s="311"/>
      <c r="FJ57" s="308"/>
      <c r="FK57" s="301" t="s">
        <v>308</v>
      </c>
      <c r="FM57" s="311"/>
      <c r="FN57" s="311"/>
      <c r="FO57" s="311"/>
      <c r="FV57" s="308"/>
      <c r="FW57" s="301" t="s">
        <v>308</v>
      </c>
      <c r="FY57" s="311"/>
      <c r="FZ57" s="311"/>
      <c r="GA57" s="311"/>
      <c r="GH57" s="308"/>
      <c r="GI57" s="301" t="s">
        <v>308</v>
      </c>
      <c r="GK57" s="311"/>
      <c r="GL57" s="311"/>
      <c r="GM57" s="311"/>
      <c r="GT57" s="308"/>
      <c r="GU57" s="301" t="s">
        <v>308</v>
      </c>
      <c r="GW57" s="311"/>
      <c r="GX57" s="311"/>
      <c r="GY57" s="311"/>
      <c r="HF57" s="308"/>
      <c r="HG57" s="301" t="s">
        <v>308</v>
      </c>
      <c r="HI57" s="311"/>
      <c r="HJ57" s="311"/>
      <c r="HK57" s="311"/>
      <c r="HR57" s="308"/>
      <c r="HS57" s="301" t="s">
        <v>308</v>
      </c>
      <c r="HU57" s="311"/>
      <c r="HV57" s="311"/>
      <c r="HW57" s="311"/>
      <c r="ID57" s="308"/>
      <c r="IE57" s="301" t="s">
        <v>308</v>
      </c>
      <c r="IG57" s="311"/>
      <c r="IH57" s="311"/>
      <c r="II57" s="311"/>
    </row>
    <row r="58" spans="3:243">
      <c r="J58" s="301" t="s">
        <v>309</v>
      </c>
      <c r="L58" s="312"/>
      <c r="M58" s="312"/>
      <c r="N58" s="312"/>
      <c r="V58" s="301" t="s">
        <v>309</v>
      </c>
      <c r="X58" s="312"/>
      <c r="Y58" s="312"/>
      <c r="Z58" s="312"/>
      <c r="AH58" s="301" t="s">
        <v>309</v>
      </c>
      <c r="AJ58" s="312"/>
      <c r="AK58" s="312"/>
      <c r="AL58" s="312"/>
      <c r="AT58" s="301" t="s">
        <v>309</v>
      </c>
      <c r="AV58" s="312"/>
      <c r="AW58" s="312"/>
      <c r="AX58" s="312"/>
      <c r="BF58" s="301" t="s">
        <v>309</v>
      </c>
      <c r="BH58" s="312"/>
      <c r="BI58" s="312"/>
      <c r="BJ58" s="312"/>
      <c r="BR58" s="301" t="s">
        <v>309</v>
      </c>
      <c r="BT58" s="312"/>
      <c r="BU58" s="312"/>
      <c r="BV58" s="312"/>
      <c r="CD58" s="301" t="s">
        <v>309</v>
      </c>
      <c r="CF58" s="312"/>
      <c r="CG58" s="312"/>
      <c r="CH58" s="312"/>
      <c r="CP58" s="301" t="s">
        <v>309</v>
      </c>
      <c r="CR58" s="312"/>
      <c r="CS58" s="312"/>
      <c r="CT58" s="312"/>
      <c r="DB58" s="301" t="s">
        <v>309</v>
      </c>
      <c r="DD58" s="312"/>
      <c r="DE58" s="312"/>
      <c r="DF58" s="312"/>
      <c r="DN58" s="301" t="s">
        <v>309</v>
      </c>
      <c r="DP58" s="312"/>
      <c r="DQ58" s="312"/>
      <c r="DR58" s="312"/>
      <c r="DZ58" s="301" t="s">
        <v>309</v>
      </c>
      <c r="EB58" s="312"/>
      <c r="EC58" s="312"/>
      <c r="ED58" s="312"/>
      <c r="EL58" s="301" t="s">
        <v>309</v>
      </c>
      <c r="EN58" s="312"/>
      <c r="EO58" s="312"/>
      <c r="EP58" s="312"/>
      <c r="EY58" s="301" t="s">
        <v>309</v>
      </c>
      <c r="FA58" s="312"/>
      <c r="FB58" s="312"/>
      <c r="FC58" s="312"/>
      <c r="FK58" s="301" t="s">
        <v>309</v>
      </c>
      <c r="FM58" s="312"/>
      <c r="FN58" s="312"/>
      <c r="FO58" s="312"/>
      <c r="FW58" s="301" t="s">
        <v>309</v>
      </c>
      <c r="FY58" s="312"/>
      <c r="FZ58" s="312"/>
      <c r="GA58" s="312"/>
      <c r="GI58" s="301" t="s">
        <v>309</v>
      </c>
      <c r="GK58" s="312"/>
      <c r="GL58" s="312"/>
      <c r="GM58" s="312"/>
      <c r="GU58" s="301" t="s">
        <v>309</v>
      </c>
      <c r="GW58" s="312"/>
      <c r="GX58" s="312"/>
      <c r="GY58" s="312"/>
      <c r="HG58" s="301" t="s">
        <v>309</v>
      </c>
      <c r="HI58" s="312"/>
      <c r="HJ58" s="312"/>
      <c r="HK58" s="312"/>
      <c r="HS58" s="301" t="s">
        <v>309</v>
      </c>
      <c r="HU58" s="312"/>
      <c r="HV58" s="312"/>
      <c r="HW58" s="312"/>
      <c r="IE58" s="301" t="s">
        <v>309</v>
      </c>
      <c r="IG58" s="312"/>
      <c r="IH58" s="312"/>
      <c r="II58" s="312"/>
    </row>
    <row r="59" spans="3:243">
      <c r="C59" s="738">
        <f>F24</f>
        <v>71700</v>
      </c>
      <c r="D59" s="738"/>
      <c r="E59" s="738"/>
      <c r="F59" s="738"/>
      <c r="O59" s="738">
        <f>R24</f>
        <v>113000</v>
      </c>
      <c r="P59" s="738"/>
      <c r="Q59" s="738"/>
      <c r="R59" s="738"/>
      <c r="AA59" s="738">
        <f>AD24</f>
        <v>196400</v>
      </c>
      <c r="AB59" s="738"/>
      <c r="AC59" s="738"/>
      <c r="AD59" s="738"/>
      <c r="AM59" s="738">
        <f>AP24</f>
        <v>139500</v>
      </c>
      <c r="AN59" s="738"/>
      <c r="AO59" s="738"/>
      <c r="AP59" s="738"/>
      <c r="AY59" s="738">
        <f>BB24</f>
        <v>137350</v>
      </c>
      <c r="AZ59" s="738"/>
      <c r="BA59" s="738"/>
      <c r="BB59" s="738"/>
      <c r="BK59" s="738">
        <f>BN24</f>
        <v>150300</v>
      </c>
      <c r="BL59" s="738"/>
      <c r="BM59" s="738"/>
      <c r="BN59" s="738"/>
      <c r="BW59" s="738">
        <f>BZ24</f>
        <v>433500</v>
      </c>
      <c r="BX59" s="738"/>
      <c r="BY59" s="738"/>
      <c r="BZ59" s="738"/>
      <c r="CI59" s="738">
        <f>CL24</f>
        <v>186500</v>
      </c>
      <c r="CJ59" s="738"/>
      <c r="CK59" s="738"/>
      <c r="CL59" s="738"/>
      <c r="CU59" s="738">
        <f>CX24</f>
        <v>165400</v>
      </c>
      <c r="CV59" s="738"/>
      <c r="CW59" s="738"/>
      <c r="CX59" s="738"/>
      <c r="DG59" s="738">
        <f>DJ24</f>
        <v>148900</v>
      </c>
      <c r="DH59" s="738"/>
      <c r="DI59" s="738"/>
      <c r="DJ59" s="738"/>
      <c r="DS59" s="738">
        <f>DV24</f>
        <v>188700</v>
      </c>
      <c r="DT59" s="738"/>
      <c r="DU59" s="738"/>
      <c r="DV59" s="738"/>
      <c r="EE59" s="738">
        <f>EH24</f>
        <v>238900</v>
      </c>
      <c r="EF59" s="738"/>
      <c r="EG59" s="738"/>
      <c r="EH59" s="738"/>
      <c r="ER59" s="738">
        <f>EU24</f>
        <v>321000</v>
      </c>
      <c r="ES59" s="738"/>
      <c r="ET59" s="738"/>
      <c r="EU59" s="738"/>
      <c r="FD59" s="738">
        <f>FG24</f>
        <v>266300</v>
      </c>
      <c r="FE59" s="738"/>
      <c r="FF59" s="738"/>
      <c r="FG59" s="738"/>
      <c r="FP59" s="738">
        <f>FS24</f>
        <v>0</v>
      </c>
      <c r="FQ59" s="738"/>
      <c r="FR59" s="738"/>
      <c r="FS59" s="738"/>
      <c r="GB59" s="738">
        <f>GE24</f>
        <v>0</v>
      </c>
      <c r="GC59" s="738"/>
      <c r="GD59" s="738"/>
      <c r="GE59" s="738"/>
      <c r="GN59" s="738">
        <f>GQ24</f>
        <v>0</v>
      </c>
      <c r="GO59" s="738"/>
      <c r="GP59" s="738"/>
      <c r="GQ59" s="738"/>
      <c r="GZ59" s="738">
        <f>HC24</f>
        <v>0</v>
      </c>
      <c r="HA59" s="738"/>
      <c r="HB59" s="738"/>
      <c r="HC59" s="738"/>
      <c r="HL59" s="738">
        <f>HO24</f>
        <v>0</v>
      </c>
      <c r="HM59" s="738"/>
      <c r="HN59" s="738"/>
      <c r="HO59" s="738"/>
      <c r="HX59" s="738">
        <f>IA24</f>
        <v>0</v>
      </c>
      <c r="HY59" s="738"/>
      <c r="HZ59" s="738"/>
      <c r="IA59" s="738"/>
    </row>
    <row r="61" spans="3:243" ht="15.5">
      <c r="C61" s="315" t="s">
        <v>327</v>
      </c>
      <c r="O61" s="315" t="s">
        <v>327</v>
      </c>
      <c r="AA61" s="315" t="s">
        <v>327</v>
      </c>
      <c r="AM61" s="315" t="s">
        <v>327</v>
      </c>
      <c r="AY61" s="315" t="s">
        <v>327</v>
      </c>
      <c r="BK61" s="315" t="s">
        <v>327</v>
      </c>
      <c r="BW61" s="315" t="s">
        <v>327</v>
      </c>
      <c r="CI61" s="315" t="s">
        <v>327</v>
      </c>
      <c r="CU61" s="315" t="s">
        <v>327</v>
      </c>
      <c r="DG61" s="315" t="s">
        <v>327</v>
      </c>
      <c r="DS61" s="315" t="s">
        <v>327</v>
      </c>
      <c r="EE61" s="315" t="s">
        <v>327</v>
      </c>
      <c r="ER61" s="315" t="s">
        <v>327</v>
      </c>
      <c r="FD61" s="315" t="s">
        <v>327</v>
      </c>
      <c r="FP61" s="315" t="s">
        <v>327</v>
      </c>
      <c r="GB61" s="315" t="s">
        <v>327</v>
      </c>
      <c r="GN61" s="315" t="s">
        <v>327</v>
      </c>
      <c r="GZ61" s="315" t="s">
        <v>327</v>
      </c>
      <c r="HL61" s="315" t="s">
        <v>327</v>
      </c>
      <c r="HX61" s="315" t="s">
        <v>327</v>
      </c>
    </row>
    <row r="62" spans="3:243" s="315" customFormat="1" ht="15.5">
      <c r="C62" s="739" t="e">
        <f ca="1">CONCATENATE("Pesos: ",words(C59))</f>
        <v>#NAME?</v>
      </c>
      <c r="D62" s="739"/>
      <c r="E62" s="739"/>
      <c r="F62" s="739"/>
      <c r="G62" s="739"/>
      <c r="H62" s="739"/>
      <c r="I62" s="739"/>
      <c r="J62" s="313" t="s">
        <v>310</v>
      </c>
      <c r="K62" s="740">
        <f>C59</f>
        <v>71700</v>
      </c>
      <c r="L62" s="741"/>
      <c r="M62" s="741"/>
      <c r="N62" s="314" t="s">
        <v>311</v>
      </c>
      <c r="O62" s="739" t="e">
        <f ca="1">CONCATENATE("Pesos: ",words(O59))</f>
        <v>#NAME?</v>
      </c>
      <c r="P62" s="739"/>
      <c r="Q62" s="739"/>
      <c r="R62" s="739"/>
      <c r="S62" s="739"/>
      <c r="T62" s="739"/>
      <c r="U62" s="739"/>
      <c r="V62" s="313" t="s">
        <v>310</v>
      </c>
      <c r="W62" s="740">
        <f>O59</f>
        <v>113000</v>
      </c>
      <c r="X62" s="741"/>
      <c r="Y62" s="741"/>
      <c r="Z62" s="314" t="s">
        <v>311</v>
      </c>
      <c r="AA62" s="739" t="e">
        <f ca="1">CONCATENATE("Pesos: ",words(AA59))</f>
        <v>#NAME?</v>
      </c>
      <c r="AB62" s="739"/>
      <c r="AC62" s="739"/>
      <c r="AD62" s="739"/>
      <c r="AE62" s="739"/>
      <c r="AF62" s="739"/>
      <c r="AG62" s="739"/>
      <c r="AH62" s="313" t="s">
        <v>310</v>
      </c>
      <c r="AI62" s="740">
        <f>AA59</f>
        <v>196400</v>
      </c>
      <c r="AJ62" s="741"/>
      <c r="AK62" s="741"/>
      <c r="AL62" s="314" t="s">
        <v>311</v>
      </c>
      <c r="AM62" s="739" t="e">
        <f ca="1">CONCATENATE("Pesos: ",words(AM59))</f>
        <v>#NAME?</v>
      </c>
      <c r="AN62" s="739"/>
      <c r="AO62" s="739"/>
      <c r="AP62" s="739"/>
      <c r="AQ62" s="739"/>
      <c r="AR62" s="739"/>
      <c r="AS62" s="739"/>
      <c r="AT62" s="313" t="s">
        <v>310</v>
      </c>
      <c r="AU62" s="740">
        <f>AM59</f>
        <v>139500</v>
      </c>
      <c r="AV62" s="741"/>
      <c r="AW62" s="741"/>
      <c r="AX62" s="314" t="s">
        <v>311</v>
      </c>
      <c r="AY62" s="739" t="e">
        <f ca="1">CONCATENATE("Pesos: ",words(AY59))</f>
        <v>#NAME?</v>
      </c>
      <c r="AZ62" s="739"/>
      <c r="BA62" s="739"/>
      <c r="BB62" s="739"/>
      <c r="BC62" s="739"/>
      <c r="BD62" s="739"/>
      <c r="BE62" s="739"/>
      <c r="BF62" s="313" t="s">
        <v>310</v>
      </c>
      <c r="BG62" s="740">
        <f>AY59</f>
        <v>137350</v>
      </c>
      <c r="BH62" s="741"/>
      <c r="BI62" s="741"/>
      <c r="BJ62" s="314" t="s">
        <v>311</v>
      </c>
      <c r="BK62" s="739" t="e">
        <f ca="1">CONCATENATE("Pesos: ",words(BK59))</f>
        <v>#NAME?</v>
      </c>
      <c r="BL62" s="739"/>
      <c r="BM62" s="739"/>
      <c r="BN62" s="739"/>
      <c r="BO62" s="739"/>
      <c r="BP62" s="739"/>
      <c r="BQ62" s="739"/>
      <c r="BR62" s="313" t="s">
        <v>310</v>
      </c>
      <c r="BS62" s="740">
        <f>BK59</f>
        <v>150300</v>
      </c>
      <c r="BT62" s="741"/>
      <c r="BU62" s="741"/>
      <c r="BV62" s="314" t="s">
        <v>311</v>
      </c>
      <c r="BW62" s="739" t="e">
        <f ca="1">CONCATENATE("Pesos: ",words(BW59))</f>
        <v>#NAME?</v>
      </c>
      <c r="BX62" s="739"/>
      <c r="BY62" s="739"/>
      <c r="BZ62" s="739"/>
      <c r="CA62" s="739"/>
      <c r="CB62" s="739"/>
      <c r="CC62" s="739"/>
      <c r="CD62" s="313" t="s">
        <v>310</v>
      </c>
      <c r="CE62" s="740">
        <f>BW59</f>
        <v>433500</v>
      </c>
      <c r="CF62" s="741"/>
      <c r="CG62" s="741"/>
      <c r="CH62" s="314" t="s">
        <v>311</v>
      </c>
      <c r="CI62" s="739" t="e">
        <f ca="1">CONCATENATE("Pesos: ",words(CI59))</f>
        <v>#NAME?</v>
      </c>
      <c r="CJ62" s="739"/>
      <c r="CK62" s="739"/>
      <c r="CL62" s="739"/>
      <c r="CM62" s="739"/>
      <c r="CN62" s="739"/>
      <c r="CO62" s="739"/>
      <c r="CP62" s="313" t="s">
        <v>310</v>
      </c>
      <c r="CQ62" s="740">
        <f>CI59</f>
        <v>186500</v>
      </c>
      <c r="CR62" s="741"/>
      <c r="CS62" s="741"/>
      <c r="CT62" s="314" t="s">
        <v>311</v>
      </c>
      <c r="CU62" s="739" t="e">
        <f ca="1">CONCATENATE("Pesos: ",words(CU59))</f>
        <v>#NAME?</v>
      </c>
      <c r="CV62" s="739"/>
      <c r="CW62" s="739"/>
      <c r="CX62" s="739"/>
      <c r="CY62" s="739"/>
      <c r="CZ62" s="739"/>
      <c r="DA62" s="739"/>
      <c r="DB62" s="313" t="s">
        <v>310</v>
      </c>
      <c r="DC62" s="740">
        <f>CU59</f>
        <v>165400</v>
      </c>
      <c r="DD62" s="741"/>
      <c r="DE62" s="741"/>
      <c r="DF62" s="314" t="s">
        <v>311</v>
      </c>
      <c r="DG62" s="739" t="e">
        <f ca="1">CONCATENATE("Pesos: ",words(DG59))</f>
        <v>#NAME?</v>
      </c>
      <c r="DH62" s="739"/>
      <c r="DI62" s="739"/>
      <c r="DJ62" s="739"/>
      <c r="DK62" s="739"/>
      <c r="DL62" s="739"/>
      <c r="DM62" s="739"/>
      <c r="DN62" s="313" t="s">
        <v>310</v>
      </c>
      <c r="DO62" s="740">
        <f>DG59</f>
        <v>148900</v>
      </c>
      <c r="DP62" s="741"/>
      <c r="DQ62" s="741"/>
      <c r="DR62" s="314" t="s">
        <v>311</v>
      </c>
      <c r="DS62" s="739" t="e">
        <f ca="1">CONCATENATE("Pesos: ",words(DS59))</f>
        <v>#NAME?</v>
      </c>
      <c r="DT62" s="739"/>
      <c r="DU62" s="739"/>
      <c r="DV62" s="739"/>
      <c r="DW62" s="739"/>
      <c r="DX62" s="739"/>
      <c r="DY62" s="739"/>
      <c r="DZ62" s="313" t="s">
        <v>310</v>
      </c>
      <c r="EA62" s="740">
        <f>DS59</f>
        <v>188700</v>
      </c>
      <c r="EB62" s="741"/>
      <c r="EC62" s="741"/>
      <c r="ED62" s="314" t="s">
        <v>311</v>
      </c>
      <c r="EE62" s="739" t="e">
        <f ca="1">CONCATENATE("Pesos: ",words(EE59))</f>
        <v>#NAME?</v>
      </c>
      <c r="EF62" s="739"/>
      <c r="EG62" s="739"/>
      <c r="EH62" s="739"/>
      <c r="EI62" s="739"/>
      <c r="EJ62" s="739"/>
      <c r="EK62" s="739"/>
      <c r="EL62" s="313" t="s">
        <v>310</v>
      </c>
      <c r="EM62" s="740">
        <f>EE59</f>
        <v>238900</v>
      </c>
      <c r="EN62" s="741"/>
      <c r="EO62" s="741"/>
      <c r="EP62" s="314" t="s">
        <v>311</v>
      </c>
      <c r="ER62" s="739" t="e">
        <f ca="1">CONCATENATE("Pesos: ",words(ER59))</f>
        <v>#NAME?</v>
      </c>
      <c r="ES62" s="739"/>
      <c r="ET62" s="739"/>
      <c r="EU62" s="739"/>
      <c r="EV62" s="739"/>
      <c r="EW62" s="739"/>
      <c r="EX62" s="739"/>
      <c r="EY62" s="313" t="s">
        <v>310</v>
      </c>
      <c r="EZ62" s="740">
        <f>ER59</f>
        <v>321000</v>
      </c>
      <c r="FA62" s="741"/>
      <c r="FB62" s="741"/>
      <c r="FC62" s="314" t="s">
        <v>311</v>
      </c>
      <c r="FD62" s="739" t="e">
        <f ca="1">CONCATENATE("Pesos: ",words(FD59))</f>
        <v>#NAME?</v>
      </c>
      <c r="FE62" s="739"/>
      <c r="FF62" s="739"/>
      <c r="FG62" s="739"/>
      <c r="FH62" s="739"/>
      <c r="FI62" s="739"/>
      <c r="FJ62" s="739"/>
      <c r="FK62" s="313" t="s">
        <v>310</v>
      </c>
      <c r="FL62" s="740">
        <f>FD59</f>
        <v>266300</v>
      </c>
      <c r="FM62" s="741"/>
      <c r="FN62" s="741"/>
      <c r="FO62" s="314" t="s">
        <v>311</v>
      </c>
      <c r="FP62" s="739" t="e">
        <f ca="1">CONCATENATE("Pesos: ",words(FP59))</f>
        <v>#NAME?</v>
      </c>
      <c r="FQ62" s="739"/>
      <c r="FR62" s="739"/>
      <c r="FS62" s="739"/>
      <c r="FT62" s="739"/>
      <c r="FU62" s="739"/>
      <c r="FV62" s="739"/>
      <c r="FW62" s="313" t="s">
        <v>310</v>
      </c>
      <c r="FX62" s="740">
        <f>FP59</f>
        <v>0</v>
      </c>
      <c r="FY62" s="741"/>
      <c r="FZ62" s="741"/>
      <c r="GA62" s="314" t="s">
        <v>311</v>
      </c>
      <c r="GB62" s="739" t="e">
        <f ca="1">CONCATENATE("Pesos: ",words(GB59))</f>
        <v>#NAME?</v>
      </c>
      <c r="GC62" s="739"/>
      <c r="GD62" s="739"/>
      <c r="GE62" s="739"/>
      <c r="GF62" s="739"/>
      <c r="GG62" s="739"/>
      <c r="GH62" s="739"/>
      <c r="GI62" s="313" t="s">
        <v>310</v>
      </c>
      <c r="GJ62" s="740">
        <f>GB59</f>
        <v>0</v>
      </c>
      <c r="GK62" s="741"/>
      <c r="GL62" s="741"/>
      <c r="GM62" s="314" t="s">
        <v>311</v>
      </c>
      <c r="GN62" s="739" t="e">
        <f ca="1">CONCATENATE("Pesos: ",words(GN59))</f>
        <v>#NAME?</v>
      </c>
      <c r="GO62" s="739"/>
      <c r="GP62" s="739"/>
      <c r="GQ62" s="739"/>
      <c r="GR62" s="739"/>
      <c r="GS62" s="739"/>
      <c r="GT62" s="739"/>
      <c r="GU62" s="313" t="s">
        <v>310</v>
      </c>
      <c r="GV62" s="740">
        <f>GN59</f>
        <v>0</v>
      </c>
      <c r="GW62" s="741"/>
      <c r="GX62" s="741"/>
      <c r="GY62" s="314" t="s">
        <v>311</v>
      </c>
      <c r="GZ62" s="739" t="e">
        <f ca="1">CONCATENATE("Pesos: ",words(GZ59))</f>
        <v>#NAME?</v>
      </c>
      <c r="HA62" s="739"/>
      <c r="HB62" s="739"/>
      <c r="HC62" s="739"/>
      <c r="HD62" s="739"/>
      <c r="HE62" s="739"/>
      <c r="HF62" s="739"/>
      <c r="HG62" s="313" t="s">
        <v>310</v>
      </c>
      <c r="HH62" s="740">
        <f>GZ59</f>
        <v>0</v>
      </c>
      <c r="HI62" s="741"/>
      <c r="HJ62" s="741"/>
      <c r="HK62" s="314" t="s">
        <v>311</v>
      </c>
      <c r="HL62" s="739" t="e">
        <f ca="1">CONCATENATE("Pesos: ",words(HL59))</f>
        <v>#NAME?</v>
      </c>
      <c r="HM62" s="739"/>
      <c r="HN62" s="739"/>
      <c r="HO62" s="739"/>
      <c r="HP62" s="739"/>
      <c r="HQ62" s="739"/>
      <c r="HR62" s="739"/>
      <c r="HS62" s="313" t="s">
        <v>310</v>
      </c>
      <c r="HT62" s="740">
        <f>HL59</f>
        <v>0</v>
      </c>
      <c r="HU62" s="741"/>
      <c r="HV62" s="741"/>
      <c r="HW62" s="314" t="s">
        <v>311</v>
      </c>
      <c r="HX62" s="739" t="e">
        <f ca="1">CONCATENATE("Pesos: ",words(HX59))</f>
        <v>#NAME?</v>
      </c>
      <c r="HY62" s="739"/>
      <c r="HZ62" s="739"/>
      <c r="IA62" s="739"/>
      <c r="IB62" s="739"/>
      <c r="IC62" s="739"/>
      <c r="ID62" s="739"/>
      <c r="IE62" s="313" t="s">
        <v>310</v>
      </c>
      <c r="IF62" s="740">
        <f>HX59</f>
        <v>0</v>
      </c>
      <c r="IG62" s="741"/>
      <c r="IH62" s="741"/>
      <c r="II62" s="314" t="s">
        <v>311</v>
      </c>
    </row>
    <row r="63" spans="3:243">
      <c r="C63" s="301" t="s">
        <v>312</v>
      </c>
      <c r="H63" s="316">
        <f ca="1">I9</f>
        <v>46084.282846759263</v>
      </c>
      <c r="I63" s="301" t="s">
        <v>313</v>
      </c>
      <c r="O63" s="301" t="s">
        <v>312</v>
      </c>
      <c r="T63" s="316">
        <f ca="1">U9</f>
        <v>46084.282846759263</v>
      </c>
      <c r="U63" s="301" t="s">
        <v>313</v>
      </c>
      <c r="AA63" s="301" t="s">
        <v>312</v>
      </c>
      <c r="AF63" s="316">
        <f ca="1">AG9</f>
        <v>46084.282846759263</v>
      </c>
      <c r="AG63" s="301" t="s">
        <v>313</v>
      </c>
      <c r="AM63" s="301" t="s">
        <v>312</v>
      </c>
      <c r="AR63" s="316">
        <f ca="1">AS9</f>
        <v>46084.282846759263</v>
      </c>
      <c r="AS63" s="301" t="s">
        <v>313</v>
      </c>
      <c r="AY63" s="301" t="s">
        <v>312</v>
      </c>
      <c r="BD63" s="316">
        <f ca="1">BE9</f>
        <v>46084.282846759263</v>
      </c>
      <c r="BE63" s="301" t="s">
        <v>313</v>
      </c>
      <c r="BK63" s="301" t="s">
        <v>312</v>
      </c>
      <c r="BP63" s="316">
        <f ca="1">BQ9</f>
        <v>46084.282846759263</v>
      </c>
      <c r="BQ63" s="301" t="s">
        <v>313</v>
      </c>
      <c r="BW63" s="301" t="s">
        <v>312</v>
      </c>
      <c r="CB63" s="316">
        <f ca="1">CC9</f>
        <v>46084.282846759263</v>
      </c>
      <c r="CC63" s="301" t="s">
        <v>313</v>
      </c>
      <c r="CI63" s="301" t="s">
        <v>312</v>
      </c>
      <c r="CN63" s="316">
        <f ca="1">CO9</f>
        <v>46084.282846759263</v>
      </c>
      <c r="CO63" s="301" t="s">
        <v>313</v>
      </c>
      <c r="CU63" s="301" t="s">
        <v>312</v>
      </c>
      <c r="CZ63" s="316">
        <f ca="1">DA9</f>
        <v>46084.282846759263</v>
      </c>
      <c r="DA63" s="301" t="s">
        <v>313</v>
      </c>
      <c r="DG63" s="301" t="s">
        <v>312</v>
      </c>
      <c r="DL63" s="316">
        <f ca="1">DM9</f>
        <v>46084.282846759263</v>
      </c>
      <c r="DM63" s="301" t="s">
        <v>313</v>
      </c>
      <c r="DS63" s="301" t="s">
        <v>312</v>
      </c>
      <c r="DX63" s="316">
        <f ca="1">DY9</f>
        <v>46084.282846759263</v>
      </c>
      <c r="DY63" s="301" t="s">
        <v>313</v>
      </c>
      <c r="EE63" s="301" t="s">
        <v>312</v>
      </c>
      <c r="EJ63" s="316">
        <f ca="1">EK9</f>
        <v>46084.282846759263</v>
      </c>
      <c r="EK63" s="301" t="s">
        <v>313</v>
      </c>
      <c r="ER63" s="301" t="s">
        <v>312</v>
      </c>
      <c r="EW63" s="316">
        <f ca="1">EX9</f>
        <v>46084.282846759263</v>
      </c>
      <c r="EX63" s="301" t="s">
        <v>313</v>
      </c>
      <c r="FD63" s="301" t="s">
        <v>312</v>
      </c>
      <c r="FI63" s="316">
        <f ca="1">FJ9</f>
        <v>46084.282846759263</v>
      </c>
      <c r="FJ63" s="301" t="s">
        <v>313</v>
      </c>
      <c r="FP63" s="301" t="s">
        <v>312</v>
      </c>
      <c r="FU63" s="316">
        <f ca="1">FV9</f>
        <v>46084.282846759263</v>
      </c>
      <c r="FV63" s="301" t="s">
        <v>313</v>
      </c>
      <c r="GB63" s="301" t="s">
        <v>312</v>
      </c>
      <c r="GG63" s="316">
        <f ca="1">GH9</f>
        <v>46084.282846759263</v>
      </c>
      <c r="GH63" s="301" t="s">
        <v>313</v>
      </c>
      <c r="GN63" s="301" t="s">
        <v>312</v>
      </c>
      <c r="GS63" s="316">
        <f ca="1">GT9</f>
        <v>46084.282846759263</v>
      </c>
      <c r="GT63" s="301" t="s">
        <v>313</v>
      </c>
      <c r="GZ63" s="301" t="s">
        <v>312</v>
      </c>
      <c r="HE63" s="316">
        <f ca="1">HF9</f>
        <v>46084.282846759263</v>
      </c>
      <c r="HF63" s="301" t="s">
        <v>313</v>
      </c>
      <c r="HL63" s="301" t="s">
        <v>312</v>
      </c>
      <c r="HQ63" s="316">
        <f ca="1">HR9</f>
        <v>46084.282846759263</v>
      </c>
      <c r="HR63" s="301" t="s">
        <v>313</v>
      </c>
      <c r="HX63" s="301" t="s">
        <v>312</v>
      </c>
      <c r="IC63" s="316">
        <f ca="1">ID9</f>
        <v>46084.282846759263</v>
      </c>
      <c r="ID63" s="301" t="s">
        <v>313</v>
      </c>
    </row>
    <row r="64" spans="3:243">
      <c r="C64" s="301" t="s">
        <v>314</v>
      </c>
      <c r="O64" s="301" t="s">
        <v>314</v>
      </c>
      <c r="AA64" s="301" t="s">
        <v>314</v>
      </c>
      <c r="AM64" s="301" t="s">
        <v>314</v>
      </c>
      <c r="AY64" s="301" t="s">
        <v>314</v>
      </c>
      <c r="BK64" s="301" t="s">
        <v>314</v>
      </c>
      <c r="BW64" s="301" t="s">
        <v>314</v>
      </c>
      <c r="CI64" s="301" t="s">
        <v>314</v>
      </c>
      <c r="CU64" s="301" t="s">
        <v>314</v>
      </c>
      <c r="DG64" s="301" t="s">
        <v>314</v>
      </c>
      <c r="DS64" s="301" t="s">
        <v>314</v>
      </c>
      <c r="EE64" s="301" t="s">
        <v>314</v>
      </c>
      <c r="ER64" s="301" t="s">
        <v>314</v>
      </c>
      <c r="FD64" s="301" t="s">
        <v>314</v>
      </c>
      <c r="FP64" s="301" t="s">
        <v>314</v>
      </c>
      <c r="GB64" s="301" t="s">
        <v>314</v>
      </c>
      <c r="GN64" s="301" t="s">
        <v>314</v>
      </c>
      <c r="GZ64" s="301" t="s">
        <v>314</v>
      </c>
      <c r="HL64" s="301" t="s">
        <v>314</v>
      </c>
      <c r="HX64" s="301" t="s">
        <v>314</v>
      </c>
    </row>
    <row r="66" spans="3:242">
      <c r="D66" s="300"/>
      <c r="P66" s="300"/>
      <c r="AB66" s="300"/>
      <c r="AN66" s="300"/>
      <c r="AZ66" s="300"/>
      <c r="BL66" s="300"/>
      <c r="BX66" s="300"/>
      <c r="CJ66" s="300"/>
      <c r="CV66" s="300"/>
      <c r="DH66" s="300"/>
      <c r="DT66" s="300"/>
      <c r="EF66" s="300"/>
      <c r="ES66" s="300"/>
      <c r="FE66" s="300"/>
      <c r="FQ66" s="300"/>
      <c r="GC66" s="300"/>
      <c r="GO66" s="300"/>
      <c r="HA66" s="300"/>
      <c r="HM66" s="300"/>
      <c r="HY66" s="300"/>
    </row>
    <row r="67" spans="3:242">
      <c r="D67" s="300"/>
      <c r="P67" s="300"/>
      <c r="AB67" s="300"/>
      <c r="AN67" s="300"/>
      <c r="AZ67" s="300"/>
      <c r="BL67" s="300"/>
      <c r="BX67" s="300"/>
      <c r="CJ67" s="300"/>
      <c r="CV67" s="300"/>
      <c r="DH67" s="300"/>
      <c r="DT67" s="300"/>
      <c r="EF67" s="300"/>
      <c r="ES67" s="300"/>
      <c r="FE67" s="300"/>
      <c r="FQ67" s="300"/>
      <c r="GC67" s="300"/>
      <c r="GO67" s="300"/>
      <c r="HA67" s="300"/>
      <c r="HM67" s="300"/>
      <c r="HY67" s="300"/>
    </row>
    <row r="69" spans="3:242" ht="14.5" thickBot="1">
      <c r="C69" s="742" t="str">
        <f>C13</f>
        <v>MARIA EMY TAN RABADAM</v>
      </c>
      <c r="D69" s="742"/>
      <c r="E69" s="742"/>
      <c r="F69" s="742"/>
      <c r="G69" s="742"/>
      <c r="H69" s="304"/>
      <c r="I69" s="743"/>
      <c r="J69" s="743"/>
      <c r="K69" s="743"/>
      <c r="L69" s="743"/>
      <c r="M69" s="743"/>
      <c r="O69" s="742" t="str">
        <f>O13</f>
        <v>ALLAN GULFERIC LEJAS</v>
      </c>
      <c r="P69" s="742"/>
      <c r="Q69" s="742"/>
      <c r="R69" s="742"/>
      <c r="S69" s="742"/>
      <c r="T69" s="304"/>
      <c r="U69" s="743"/>
      <c r="V69" s="743"/>
      <c r="W69" s="743"/>
      <c r="X69" s="743"/>
      <c r="Y69" s="743"/>
      <c r="AA69" s="742" t="str">
        <f>AA13</f>
        <v>JOSE JR ADESAS NUNEZ</v>
      </c>
      <c r="AB69" s="742"/>
      <c r="AC69" s="742"/>
      <c r="AD69" s="742"/>
      <c r="AE69" s="742"/>
      <c r="AF69" s="304"/>
      <c r="AG69" s="743"/>
      <c r="AH69" s="743"/>
      <c r="AI69" s="743"/>
      <c r="AJ69" s="743"/>
      <c r="AK69" s="743"/>
      <c r="AM69" s="742" t="str">
        <f>AM13</f>
        <v>NESTOR PELENO LIMA</v>
      </c>
      <c r="AN69" s="742"/>
      <c r="AO69" s="742"/>
      <c r="AP69" s="742"/>
      <c r="AQ69" s="742"/>
      <c r="AR69" s="304"/>
      <c r="AS69" s="743"/>
      <c r="AT69" s="743"/>
      <c r="AU69" s="743"/>
      <c r="AV69" s="743"/>
      <c r="AW69" s="743"/>
      <c r="AY69" s="742" t="str">
        <f>AY13</f>
        <v>MARCIANO JR HERNANDEZ ALEGRIA</v>
      </c>
      <c r="AZ69" s="742"/>
      <c r="BA69" s="742"/>
      <c r="BB69" s="742"/>
      <c r="BC69" s="742"/>
      <c r="BD69" s="304"/>
      <c r="BE69" s="743"/>
      <c r="BF69" s="743"/>
      <c r="BG69" s="743"/>
      <c r="BH69" s="743"/>
      <c r="BI69" s="743"/>
      <c r="BK69" s="742" t="str">
        <f>BK13</f>
        <v>MANOLITO ABARRACOSO GACELOS</v>
      </c>
      <c r="BL69" s="742"/>
      <c r="BM69" s="742"/>
      <c r="BN69" s="742"/>
      <c r="BO69" s="742"/>
      <c r="BP69" s="304"/>
      <c r="BQ69" s="743"/>
      <c r="BR69" s="743"/>
      <c r="BS69" s="743"/>
      <c r="BT69" s="743"/>
      <c r="BU69" s="743"/>
      <c r="BW69" s="742" t="str">
        <f>BW13</f>
        <v>LEONILA HILONGO GONZALES</v>
      </c>
      <c r="BX69" s="742"/>
      <c r="BY69" s="742"/>
      <c r="BZ69" s="742"/>
      <c r="CA69" s="742"/>
      <c r="CB69" s="304"/>
      <c r="CC69" s="743"/>
      <c r="CD69" s="743"/>
      <c r="CE69" s="743"/>
      <c r="CF69" s="743"/>
      <c r="CG69" s="743"/>
      <c r="CI69" s="742" t="str">
        <f>CI13</f>
        <v>CHONA BRANZUELA MAYOR</v>
      </c>
      <c r="CJ69" s="742"/>
      <c r="CK69" s="742"/>
      <c r="CL69" s="742"/>
      <c r="CM69" s="742"/>
      <c r="CN69" s="304"/>
      <c r="CO69" s="743"/>
      <c r="CP69" s="743"/>
      <c r="CQ69" s="743"/>
      <c r="CR69" s="743"/>
      <c r="CS69" s="743"/>
      <c r="CU69" s="742" t="str">
        <f>CU13</f>
        <v>JONAS ABELIDO YBOA</v>
      </c>
      <c r="CV69" s="742"/>
      <c r="CW69" s="742"/>
      <c r="CX69" s="742"/>
      <c r="CY69" s="742"/>
      <c r="CZ69" s="304"/>
      <c r="DA69" s="743"/>
      <c r="DB69" s="743"/>
      <c r="DC69" s="743"/>
      <c r="DD69" s="743"/>
      <c r="DE69" s="743"/>
      <c r="DG69" s="742" t="str">
        <f>DG13</f>
        <v>RUBIA ABARCAR GONZALES</v>
      </c>
      <c r="DH69" s="742"/>
      <c r="DI69" s="742"/>
      <c r="DJ69" s="742"/>
      <c r="DK69" s="742"/>
      <c r="DL69" s="304"/>
      <c r="DM69" s="743"/>
      <c r="DN69" s="743"/>
      <c r="DO69" s="743"/>
      <c r="DP69" s="743"/>
      <c r="DQ69" s="743"/>
      <c r="DS69" s="742" t="str">
        <f>DS13</f>
        <v>DOMINGO JR JADLOC ARCALES</v>
      </c>
      <c r="DT69" s="742"/>
      <c r="DU69" s="742"/>
      <c r="DV69" s="742"/>
      <c r="DW69" s="742"/>
      <c r="DX69" s="304"/>
      <c r="DY69" s="743"/>
      <c r="DZ69" s="743"/>
      <c r="EA69" s="743"/>
      <c r="EB69" s="743"/>
      <c r="EC69" s="743"/>
      <c r="EE69" s="742" t="str">
        <f>EE13</f>
        <v>REBECCA TILLES GACELOS</v>
      </c>
      <c r="EF69" s="742"/>
      <c r="EG69" s="742"/>
      <c r="EH69" s="742"/>
      <c r="EI69" s="742"/>
      <c r="EJ69" s="304"/>
      <c r="EK69" s="743"/>
      <c r="EL69" s="743"/>
      <c r="EM69" s="743"/>
      <c r="EN69" s="743"/>
      <c r="EO69" s="743"/>
      <c r="ER69" s="742" t="str">
        <f>ER13</f>
        <v>NARCISA  CAMUIN TONELETE</v>
      </c>
      <c r="ES69" s="742"/>
      <c r="ET69" s="742"/>
      <c r="EU69" s="742"/>
      <c r="EV69" s="742"/>
      <c r="EW69" s="304"/>
      <c r="EX69" s="743"/>
      <c r="EY69" s="743"/>
      <c r="EZ69" s="743"/>
      <c r="FA69" s="743"/>
      <c r="FB69" s="743"/>
      <c r="FD69" s="742" t="str">
        <f>FD13</f>
        <v>MA WINONA CON UI GABON</v>
      </c>
      <c r="FE69" s="742"/>
      <c r="FF69" s="742"/>
      <c r="FG69" s="742"/>
      <c r="FH69" s="742"/>
      <c r="FI69" s="304"/>
      <c r="FJ69" s="743"/>
      <c r="FK69" s="743"/>
      <c r="FL69" s="743"/>
      <c r="FM69" s="743"/>
      <c r="FN69" s="743"/>
      <c r="FP69" s="742" t="str">
        <f>FP13</f>
        <v xml:space="preserve">  </v>
      </c>
      <c r="FQ69" s="742"/>
      <c r="FR69" s="742"/>
      <c r="FS69" s="742"/>
      <c r="FT69" s="742"/>
      <c r="FU69" s="304"/>
      <c r="FV69" s="743"/>
      <c r="FW69" s="743"/>
      <c r="FX69" s="743"/>
      <c r="FY69" s="743"/>
      <c r="FZ69" s="743"/>
      <c r="GB69" s="742" t="str">
        <f>GB13</f>
        <v xml:space="preserve">  </v>
      </c>
      <c r="GC69" s="742"/>
      <c r="GD69" s="742"/>
      <c r="GE69" s="742"/>
      <c r="GF69" s="742"/>
      <c r="GG69" s="304"/>
      <c r="GH69" s="743"/>
      <c r="GI69" s="743"/>
      <c r="GJ69" s="743"/>
      <c r="GK69" s="743"/>
      <c r="GL69" s="743"/>
      <c r="GN69" s="742" t="str">
        <f>GN13</f>
        <v xml:space="preserve">  </v>
      </c>
      <c r="GO69" s="742"/>
      <c r="GP69" s="742"/>
      <c r="GQ69" s="742"/>
      <c r="GR69" s="742"/>
      <c r="GS69" s="304"/>
      <c r="GT69" s="743"/>
      <c r="GU69" s="743"/>
      <c r="GV69" s="743"/>
      <c r="GW69" s="743"/>
      <c r="GX69" s="743"/>
      <c r="GZ69" s="742" t="str">
        <f>GZ13</f>
        <v xml:space="preserve">  </v>
      </c>
      <c r="HA69" s="742"/>
      <c r="HB69" s="742"/>
      <c r="HC69" s="742"/>
      <c r="HD69" s="742"/>
      <c r="HE69" s="304"/>
      <c r="HF69" s="743"/>
      <c r="HG69" s="743"/>
      <c r="HH69" s="743"/>
      <c r="HI69" s="743"/>
      <c r="HJ69" s="743"/>
      <c r="HL69" s="742" t="str">
        <f>HL13</f>
        <v xml:space="preserve">  </v>
      </c>
      <c r="HM69" s="742"/>
      <c r="HN69" s="742"/>
      <c r="HO69" s="742"/>
      <c r="HP69" s="742"/>
      <c r="HQ69" s="304"/>
      <c r="HR69" s="743"/>
      <c r="HS69" s="743"/>
      <c r="HT69" s="743"/>
      <c r="HU69" s="743"/>
      <c r="HV69" s="743"/>
      <c r="HX69" s="742" t="str">
        <f>HX13</f>
        <v xml:space="preserve">  </v>
      </c>
      <c r="HY69" s="742"/>
      <c r="HZ69" s="742"/>
      <c r="IA69" s="742"/>
      <c r="IB69" s="742"/>
      <c r="IC69" s="304"/>
      <c r="ID69" s="743"/>
      <c r="IE69" s="743"/>
      <c r="IF69" s="743"/>
      <c r="IG69" s="743"/>
      <c r="IH69" s="743"/>
    </row>
    <row r="70" spans="3:242" ht="15" customHeight="1">
      <c r="C70" s="744" t="s">
        <v>315</v>
      </c>
      <c r="D70" s="744"/>
      <c r="E70" s="744"/>
      <c r="F70" s="744"/>
      <c r="G70" s="744"/>
      <c r="H70" s="304"/>
      <c r="I70" s="734" t="s">
        <v>316</v>
      </c>
      <c r="J70" s="734"/>
      <c r="K70" s="734"/>
      <c r="L70" s="734"/>
      <c r="M70" s="734"/>
      <c r="O70" s="744" t="s">
        <v>315</v>
      </c>
      <c r="P70" s="744"/>
      <c r="Q70" s="744"/>
      <c r="R70" s="744"/>
      <c r="S70" s="744"/>
      <c r="T70" s="304"/>
      <c r="U70" s="734" t="s">
        <v>316</v>
      </c>
      <c r="V70" s="734"/>
      <c r="W70" s="734"/>
      <c r="X70" s="734"/>
      <c r="Y70" s="734"/>
      <c r="AA70" s="744" t="s">
        <v>315</v>
      </c>
      <c r="AB70" s="744"/>
      <c r="AC70" s="744"/>
      <c r="AD70" s="744"/>
      <c r="AE70" s="744"/>
      <c r="AF70" s="304"/>
      <c r="AG70" s="734" t="s">
        <v>316</v>
      </c>
      <c r="AH70" s="734"/>
      <c r="AI70" s="734"/>
      <c r="AJ70" s="734"/>
      <c r="AK70" s="734"/>
      <c r="AM70" s="744" t="s">
        <v>315</v>
      </c>
      <c r="AN70" s="744"/>
      <c r="AO70" s="744"/>
      <c r="AP70" s="744"/>
      <c r="AQ70" s="744"/>
      <c r="AR70" s="304"/>
      <c r="AS70" s="734" t="s">
        <v>316</v>
      </c>
      <c r="AT70" s="734"/>
      <c r="AU70" s="734"/>
      <c r="AV70" s="734"/>
      <c r="AW70" s="734"/>
      <c r="AY70" s="744" t="s">
        <v>315</v>
      </c>
      <c r="AZ70" s="744"/>
      <c r="BA70" s="744"/>
      <c r="BB70" s="744"/>
      <c r="BC70" s="744"/>
      <c r="BD70" s="304"/>
      <c r="BE70" s="734" t="s">
        <v>316</v>
      </c>
      <c r="BF70" s="734"/>
      <c r="BG70" s="734"/>
      <c r="BH70" s="734"/>
      <c r="BI70" s="734"/>
      <c r="BK70" s="744" t="s">
        <v>315</v>
      </c>
      <c r="BL70" s="744"/>
      <c r="BM70" s="744"/>
      <c r="BN70" s="744"/>
      <c r="BO70" s="744"/>
      <c r="BP70" s="304"/>
      <c r="BQ70" s="734" t="s">
        <v>316</v>
      </c>
      <c r="BR70" s="734"/>
      <c r="BS70" s="734"/>
      <c r="BT70" s="734"/>
      <c r="BU70" s="734"/>
      <c r="BW70" s="744" t="s">
        <v>315</v>
      </c>
      <c r="BX70" s="744"/>
      <c r="BY70" s="744"/>
      <c r="BZ70" s="744"/>
      <c r="CA70" s="744"/>
      <c r="CB70" s="304"/>
      <c r="CC70" s="734" t="s">
        <v>316</v>
      </c>
      <c r="CD70" s="734"/>
      <c r="CE70" s="734"/>
      <c r="CF70" s="734"/>
      <c r="CG70" s="734"/>
      <c r="CI70" s="744" t="s">
        <v>315</v>
      </c>
      <c r="CJ70" s="744"/>
      <c r="CK70" s="744"/>
      <c r="CL70" s="744"/>
      <c r="CM70" s="744"/>
      <c r="CN70" s="304"/>
      <c r="CO70" s="734" t="s">
        <v>316</v>
      </c>
      <c r="CP70" s="734"/>
      <c r="CQ70" s="734"/>
      <c r="CR70" s="734"/>
      <c r="CS70" s="734"/>
      <c r="CU70" s="744" t="s">
        <v>315</v>
      </c>
      <c r="CV70" s="744"/>
      <c r="CW70" s="744"/>
      <c r="CX70" s="744"/>
      <c r="CY70" s="744"/>
      <c r="CZ70" s="304"/>
      <c r="DA70" s="734" t="s">
        <v>316</v>
      </c>
      <c r="DB70" s="734"/>
      <c r="DC70" s="734"/>
      <c r="DD70" s="734"/>
      <c r="DE70" s="734"/>
      <c r="DG70" s="744" t="s">
        <v>315</v>
      </c>
      <c r="DH70" s="744"/>
      <c r="DI70" s="744"/>
      <c r="DJ70" s="744"/>
      <c r="DK70" s="744"/>
      <c r="DL70" s="304"/>
      <c r="DM70" s="734" t="s">
        <v>316</v>
      </c>
      <c r="DN70" s="734"/>
      <c r="DO70" s="734"/>
      <c r="DP70" s="734"/>
      <c r="DQ70" s="734"/>
      <c r="DS70" s="744" t="s">
        <v>315</v>
      </c>
      <c r="DT70" s="744"/>
      <c r="DU70" s="744"/>
      <c r="DV70" s="744"/>
      <c r="DW70" s="744"/>
      <c r="DX70" s="304"/>
      <c r="DY70" s="734" t="s">
        <v>316</v>
      </c>
      <c r="DZ70" s="734"/>
      <c r="EA70" s="734"/>
      <c r="EB70" s="734"/>
      <c r="EC70" s="734"/>
      <c r="EE70" s="744" t="s">
        <v>315</v>
      </c>
      <c r="EF70" s="744"/>
      <c r="EG70" s="744"/>
      <c r="EH70" s="744"/>
      <c r="EI70" s="744"/>
      <c r="EJ70" s="304"/>
      <c r="EK70" s="734" t="s">
        <v>316</v>
      </c>
      <c r="EL70" s="734"/>
      <c r="EM70" s="734"/>
      <c r="EN70" s="734"/>
      <c r="EO70" s="734"/>
      <c r="ER70" s="744" t="s">
        <v>315</v>
      </c>
      <c r="ES70" s="744"/>
      <c r="ET70" s="744"/>
      <c r="EU70" s="744"/>
      <c r="EV70" s="744"/>
      <c r="EW70" s="304"/>
      <c r="EX70" s="734" t="s">
        <v>316</v>
      </c>
      <c r="EY70" s="734"/>
      <c r="EZ70" s="734"/>
      <c r="FA70" s="734"/>
      <c r="FB70" s="734"/>
      <c r="FD70" s="744" t="s">
        <v>315</v>
      </c>
      <c r="FE70" s="744"/>
      <c r="FF70" s="744"/>
      <c r="FG70" s="744"/>
      <c r="FH70" s="744"/>
      <c r="FI70" s="304"/>
      <c r="FJ70" s="734" t="s">
        <v>316</v>
      </c>
      <c r="FK70" s="734"/>
      <c r="FL70" s="734"/>
      <c r="FM70" s="734"/>
      <c r="FN70" s="734"/>
      <c r="FP70" s="744" t="s">
        <v>315</v>
      </c>
      <c r="FQ70" s="744"/>
      <c r="FR70" s="744"/>
      <c r="FS70" s="744"/>
      <c r="FT70" s="744"/>
      <c r="FU70" s="304"/>
      <c r="FV70" s="734" t="s">
        <v>316</v>
      </c>
      <c r="FW70" s="734"/>
      <c r="FX70" s="734"/>
      <c r="FY70" s="734"/>
      <c r="FZ70" s="734"/>
      <c r="GB70" s="744" t="s">
        <v>315</v>
      </c>
      <c r="GC70" s="744"/>
      <c r="GD70" s="744"/>
      <c r="GE70" s="744"/>
      <c r="GF70" s="744"/>
      <c r="GG70" s="304"/>
      <c r="GH70" s="734" t="s">
        <v>316</v>
      </c>
      <c r="GI70" s="734"/>
      <c r="GJ70" s="734"/>
      <c r="GK70" s="734"/>
      <c r="GL70" s="734"/>
      <c r="GN70" s="744" t="s">
        <v>315</v>
      </c>
      <c r="GO70" s="744"/>
      <c r="GP70" s="744"/>
      <c r="GQ70" s="744"/>
      <c r="GR70" s="744"/>
      <c r="GS70" s="304"/>
      <c r="GT70" s="734" t="s">
        <v>316</v>
      </c>
      <c r="GU70" s="734"/>
      <c r="GV70" s="734"/>
      <c r="GW70" s="734"/>
      <c r="GX70" s="734"/>
      <c r="GZ70" s="744" t="s">
        <v>315</v>
      </c>
      <c r="HA70" s="744"/>
      <c r="HB70" s="744"/>
      <c r="HC70" s="744"/>
      <c r="HD70" s="744"/>
      <c r="HE70" s="304"/>
      <c r="HF70" s="734" t="s">
        <v>316</v>
      </c>
      <c r="HG70" s="734"/>
      <c r="HH70" s="734"/>
      <c r="HI70" s="734"/>
      <c r="HJ70" s="734"/>
      <c r="HL70" s="744" t="s">
        <v>315</v>
      </c>
      <c r="HM70" s="744"/>
      <c r="HN70" s="744"/>
      <c r="HO70" s="744"/>
      <c r="HP70" s="744"/>
      <c r="HQ70" s="304"/>
      <c r="HR70" s="734" t="s">
        <v>316</v>
      </c>
      <c r="HS70" s="734"/>
      <c r="HT70" s="734"/>
      <c r="HU70" s="734"/>
      <c r="HV70" s="734"/>
      <c r="HX70" s="744" t="s">
        <v>315</v>
      </c>
      <c r="HY70" s="744"/>
      <c r="HZ70" s="744"/>
      <c r="IA70" s="744"/>
      <c r="IB70" s="744"/>
      <c r="IC70" s="304"/>
      <c r="ID70" s="734" t="s">
        <v>316</v>
      </c>
      <c r="IE70" s="734"/>
      <c r="IF70" s="734"/>
      <c r="IG70" s="734"/>
      <c r="IH70" s="734"/>
    </row>
    <row r="71" spans="3:242">
      <c r="C71" s="304"/>
      <c r="D71" s="304"/>
      <c r="E71" s="304"/>
      <c r="F71" s="304"/>
      <c r="G71" s="304"/>
      <c r="H71" s="304"/>
      <c r="I71" s="304"/>
      <c r="J71" s="304"/>
      <c r="K71" s="304"/>
      <c r="L71" s="304"/>
      <c r="M71" s="304"/>
      <c r="O71" s="304"/>
      <c r="P71" s="304"/>
      <c r="Q71" s="304"/>
      <c r="R71" s="304"/>
      <c r="S71" s="304"/>
      <c r="T71" s="304"/>
      <c r="U71" s="304"/>
      <c r="V71" s="304"/>
      <c r="W71" s="304"/>
      <c r="X71" s="304"/>
      <c r="Y71" s="304"/>
      <c r="AA71" s="304"/>
      <c r="AB71" s="304"/>
      <c r="AC71" s="304"/>
      <c r="AD71" s="304"/>
      <c r="AE71" s="304"/>
      <c r="AF71" s="304"/>
      <c r="AG71" s="304"/>
      <c r="AH71" s="304"/>
      <c r="AI71" s="304"/>
      <c r="AJ71" s="304"/>
      <c r="AK71" s="304"/>
      <c r="AM71" s="304"/>
      <c r="AN71" s="304"/>
      <c r="AO71" s="304"/>
      <c r="AP71" s="304"/>
      <c r="AQ71" s="304"/>
      <c r="AR71" s="304"/>
      <c r="AS71" s="304"/>
      <c r="AT71" s="304"/>
      <c r="AU71" s="304"/>
      <c r="AV71" s="304"/>
      <c r="AW71" s="304"/>
      <c r="AY71" s="304"/>
      <c r="AZ71" s="304"/>
      <c r="BA71" s="304"/>
      <c r="BB71" s="304"/>
      <c r="BC71" s="304"/>
      <c r="BD71" s="304"/>
      <c r="BE71" s="304"/>
      <c r="BF71" s="304"/>
      <c r="BG71" s="304"/>
      <c r="BH71" s="304"/>
      <c r="BI71" s="304"/>
      <c r="BK71" s="304"/>
      <c r="BL71" s="304"/>
      <c r="BM71" s="304"/>
      <c r="BN71" s="304"/>
      <c r="BO71" s="304"/>
      <c r="BP71" s="304"/>
      <c r="BQ71" s="304"/>
      <c r="BR71" s="304"/>
      <c r="BS71" s="304"/>
      <c r="BT71" s="304"/>
      <c r="BU71" s="304"/>
      <c r="BW71" s="304"/>
      <c r="BX71" s="304"/>
      <c r="BY71" s="304"/>
      <c r="BZ71" s="304"/>
      <c r="CA71" s="304"/>
      <c r="CB71" s="304"/>
      <c r="CC71" s="304"/>
      <c r="CD71" s="304"/>
      <c r="CE71" s="304"/>
      <c r="CF71" s="304"/>
      <c r="CG71" s="304"/>
      <c r="CI71" s="304"/>
      <c r="CJ71" s="304"/>
      <c r="CK71" s="304"/>
      <c r="CL71" s="304"/>
      <c r="CM71" s="304"/>
      <c r="CN71" s="304"/>
      <c r="CO71" s="304"/>
      <c r="CP71" s="304"/>
      <c r="CQ71" s="304"/>
      <c r="CR71" s="304"/>
      <c r="CS71" s="304"/>
      <c r="CU71" s="304"/>
      <c r="CV71" s="304"/>
      <c r="CW71" s="304"/>
      <c r="CX71" s="304"/>
      <c r="CY71" s="304"/>
      <c r="CZ71" s="304"/>
      <c r="DA71" s="304"/>
      <c r="DB71" s="304"/>
      <c r="DC71" s="304"/>
      <c r="DD71" s="304"/>
      <c r="DE71" s="304"/>
      <c r="DG71" s="304"/>
      <c r="DH71" s="304"/>
      <c r="DI71" s="304"/>
      <c r="DJ71" s="304"/>
      <c r="DK71" s="304"/>
      <c r="DL71" s="304"/>
      <c r="DM71" s="304"/>
      <c r="DN71" s="304"/>
      <c r="DO71" s="304"/>
      <c r="DP71" s="304"/>
      <c r="DQ71" s="304"/>
      <c r="DS71" s="304"/>
      <c r="DT71" s="304"/>
      <c r="DU71" s="304"/>
      <c r="DV71" s="304"/>
      <c r="DW71" s="304"/>
      <c r="DX71" s="304"/>
      <c r="DY71" s="304"/>
      <c r="DZ71" s="304"/>
      <c r="EA71" s="304"/>
      <c r="EB71" s="304"/>
      <c r="EC71" s="304"/>
      <c r="EE71" s="304"/>
      <c r="EF71" s="304"/>
      <c r="EG71" s="304"/>
      <c r="EH71" s="304"/>
      <c r="EI71" s="304"/>
      <c r="EJ71" s="304"/>
      <c r="EK71" s="304"/>
      <c r="EL71" s="304"/>
      <c r="EM71" s="304"/>
      <c r="EN71" s="304"/>
      <c r="EO71" s="304"/>
      <c r="ER71" s="304"/>
      <c r="ES71" s="304"/>
      <c r="ET71" s="304"/>
      <c r="EU71" s="304"/>
      <c r="EV71" s="304"/>
      <c r="EW71" s="304"/>
      <c r="EX71" s="304"/>
      <c r="EY71" s="304"/>
      <c r="EZ71" s="304"/>
      <c r="FA71" s="304"/>
      <c r="FB71" s="304"/>
      <c r="FD71" s="304"/>
      <c r="FE71" s="304"/>
      <c r="FF71" s="304"/>
      <c r="FG71" s="304"/>
      <c r="FH71" s="304"/>
      <c r="FI71" s="304"/>
      <c r="FJ71" s="304"/>
      <c r="FK71" s="304"/>
      <c r="FL71" s="304"/>
      <c r="FM71" s="304"/>
      <c r="FN71" s="304"/>
      <c r="FP71" s="304"/>
      <c r="FQ71" s="304"/>
      <c r="FR71" s="304"/>
      <c r="FS71" s="304"/>
      <c r="FT71" s="304"/>
      <c r="FU71" s="304"/>
      <c r="FV71" s="304"/>
      <c r="FW71" s="304"/>
      <c r="FX71" s="304"/>
      <c r="FY71" s="304"/>
      <c r="FZ71" s="304"/>
      <c r="GB71" s="304"/>
      <c r="GC71" s="304"/>
      <c r="GD71" s="304"/>
      <c r="GE71" s="304"/>
      <c r="GF71" s="304"/>
      <c r="GG71" s="304"/>
      <c r="GH71" s="304"/>
      <c r="GI71" s="304"/>
      <c r="GJ71" s="304"/>
      <c r="GK71" s="304"/>
      <c r="GL71" s="304"/>
      <c r="GN71" s="304"/>
      <c r="GO71" s="304"/>
      <c r="GP71" s="304"/>
      <c r="GQ71" s="304"/>
      <c r="GR71" s="304"/>
      <c r="GS71" s="304"/>
      <c r="GT71" s="304"/>
      <c r="GU71" s="304"/>
      <c r="GV71" s="304"/>
      <c r="GW71" s="304"/>
      <c r="GX71" s="304"/>
      <c r="GZ71" s="304"/>
      <c r="HA71" s="304"/>
      <c r="HB71" s="304"/>
      <c r="HC71" s="304"/>
      <c r="HD71" s="304"/>
      <c r="HE71" s="304"/>
      <c r="HF71" s="304"/>
      <c r="HG71" s="304"/>
      <c r="HH71" s="304"/>
      <c r="HI71" s="304"/>
      <c r="HJ71" s="304"/>
      <c r="HL71" s="304"/>
      <c r="HM71" s="304"/>
      <c r="HN71" s="304"/>
      <c r="HO71" s="304"/>
      <c r="HP71" s="304"/>
      <c r="HQ71" s="304"/>
      <c r="HR71" s="304"/>
      <c r="HS71" s="304"/>
      <c r="HT71" s="304"/>
      <c r="HU71" s="304"/>
      <c r="HV71" s="304"/>
      <c r="HX71" s="304"/>
      <c r="HY71" s="304"/>
      <c r="HZ71" s="304"/>
      <c r="IA71" s="304"/>
      <c r="IB71" s="304"/>
      <c r="IC71" s="304"/>
      <c r="ID71" s="304"/>
      <c r="IE71" s="304"/>
      <c r="IF71" s="304"/>
      <c r="IG71" s="304"/>
      <c r="IH71" s="304"/>
    </row>
    <row r="72" spans="3:242">
      <c r="C72" s="304"/>
      <c r="D72" s="304"/>
      <c r="E72" s="304"/>
      <c r="F72" s="317"/>
      <c r="G72" s="304"/>
      <c r="H72" s="304"/>
      <c r="I72" s="304"/>
      <c r="J72" s="304"/>
      <c r="K72" s="304"/>
      <c r="L72" s="304"/>
      <c r="M72" s="304"/>
      <c r="O72" s="304"/>
      <c r="P72" s="304"/>
      <c r="Q72" s="304"/>
      <c r="R72" s="317"/>
      <c r="S72" s="304"/>
      <c r="T72" s="304"/>
      <c r="U72" s="304"/>
      <c r="V72" s="304"/>
      <c r="W72" s="304"/>
      <c r="X72" s="304"/>
      <c r="Y72" s="304"/>
      <c r="AA72" s="304"/>
      <c r="AB72" s="304"/>
      <c r="AC72" s="304"/>
      <c r="AD72" s="317"/>
      <c r="AE72" s="304"/>
      <c r="AF72" s="304"/>
      <c r="AG72" s="304"/>
      <c r="AH72" s="304"/>
      <c r="AI72" s="304"/>
      <c r="AJ72" s="304"/>
      <c r="AK72" s="304"/>
      <c r="AM72" s="304"/>
      <c r="AN72" s="304"/>
      <c r="AO72" s="304"/>
      <c r="AP72" s="317"/>
      <c r="AQ72" s="304"/>
      <c r="AR72" s="304"/>
      <c r="AS72" s="304"/>
      <c r="AT72" s="304"/>
      <c r="AU72" s="304"/>
      <c r="AV72" s="304"/>
      <c r="AW72" s="304"/>
      <c r="AY72" s="304"/>
      <c r="AZ72" s="304"/>
      <c r="BA72" s="304"/>
      <c r="BB72" s="317"/>
      <c r="BC72" s="304"/>
      <c r="BD72" s="304"/>
      <c r="BE72" s="304"/>
      <c r="BF72" s="304"/>
      <c r="BG72" s="304"/>
      <c r="BH72" s="304"/>
      <c r="BI72" s="304"/>
      <c r="BK72" s="304"/>
      <c r="BL72" s="304"/>
      <c r="BM72" s="304"/>
      <c r="BN72" s="317"/>
      <c r="BO72" s="304"/>
      <c r="BP72" s="304"/>
      <c r="BQ72" s="304"/>
      <c r="BR72" s="304"/>
      <c r="BS72" s="304"/>
      <c r="BT72" s="304"/>
      <c r="BU72" s="304"/>
      <c r="BW72" s="304"/>
      <c r="BX72" s="304"/>
      <c r="BY72" s="304"/>
      <c r="BZ72" s="317"/>
      <c r="CA72" s="304"/>
      <c r="CB72" s="304"/>
      <c r="CC72" s="304"/>
      <c r="CD72" s="304"/>
      <c r="CE72" s="304"/>
      <c r="CF72" s="304"/>
      <c r="CG72" s="304"/>
      <c r="CI72" s="304"/>
      <c r="CJ72" s="304"/>
      <c r="CK72" s="304"/>
      <c r="CL72" s="317"/>
      <c r="CM72" s="304"/>
      <c r="CN72" s="304"/>
      <c r="CO72" s="304"/>
      <c r="CP72" s="304"/>
      <c r="CQ72" s="304"/>
      <c r="CR72" s="304"/>
      <c r="CS72" s="304"/>
      <c r="CU72" s="304"/>
      <c r="CV72" s="304"/>
      <c r="CW72" s="304"/>
      <c r="CX72" s="317"/>
      <c r="CY72" s="304"/>
      <c r="CZ72" s="304"/>
      <c r="DA72" s="304"/>
      <c r="DB72" s="304"/>
      <c r="DC72" s="304"/>
      <c r="DD72" s="304"/>
      <c r="DE72" s="304"/>
      <c r="DG72" s="304"/>
      <c r="DH72" s="304"/>
      <c r="DI72" s="304"/>
      <c r="DJ72" s="317"/>
      <c r="DK72" s="304"/>
      <c r="DL72" s="304"/>
      <c r="DM72" s="304"/>
      <c r="DN72" s="304"/>
      <c r="DO72" s="304"/>
      <c r="DP72" s="304"/>
      <c r="DQ72" s="304"/>
      <c r="DS72" s="304"/>
      <c r="DT72" s="304"/>
      <c r="DU72" s="304"/>
      <c r="DV72" s="317"/>
      <c r="DW72" s="304"/>
      <c r="DX72" s="304"/>
      <c r="DY72" s="304"/>
      <c r="DZ72" s="304"/>
      <c r="EA72" s="304"/>
      <c r="EB72" s="304"/>
      <c r="EC72" s="304"/>
      <c r="EE72" s="304"/>
      <c r="EF72" s="304"/>
      <c r="EG72" s="304"/>
      <c r="EH72" s="317"/>
      <c r="EI72" s="304"/>
      <c r="EJ72" s="304"/>
      <c r="EK72" s="304"/>
      <c r="EL72" s="304"/>
      <c r="EM72" s="304"/>
      <c r="EN72" s="304"/>
      <c r="EO72" s="304"/>
      <c r="ER72" s="304"/>
      <c r="ES72" s="304"/>
      <c r="ET72" s="304"/>
      <c r="EU72" s="317"/>
      <c r="EV72" s="304"/>
      <c r="EW72" s="304"/>
      <c r="EX72" s="304"/>
      <c r="EY72" s="304"/>
      <c r="EZ72" s="304"/>
      <c r="FA72" s="304"/>
      <c r="FB72" s="304"/>
      <c r="FD72" s="304"/>
      <c r="FE72" s="304"/>
      <c r="FF72" s="304"/>
      <c r="FG72" s="317"/>
      <c r="FH72" s="304"/>
      <c r="FI72" s="304"/>
      <c r="FJ72" s="304"/>
      <c r="FK72" s="304"/>
      <c r="FL72" s="304"/>
      <c r="FM72" s="304"/>
      <c r="FN72" s="304"/>
      <c r="FP72" s="304"/>
      <c r="FQ72" s="304"/>
      <c r="FR72" s="304"/>
      <c r="FS72" s="317"/>
      <c r="FT72" s="304"/>
      <c r="FU72" s="304"/>
      <c r="FV72" s="304"/>
      <c r="FW72" s="304"/>
      <c r="FX72" s="304"/>
      <c r="FY72" s="304"/>
      <c r="FZ72" s="304"/>
      <c r="GB72" s="304"/>
      <c r="GC72" s="304"/>
      <c r="GD72" s="304"/>
      <c r="GE72" s="317"/>
      <c r="GF72" s="304"/>
      <c r="GG72" s="304"/>
      <c r="GH72" s="304"/>
      <c r="GI72" s="304"/>
      <c r="GJ72" s="304"/>
      <c r="GK72" s="304"/>
      <c r="GL72" s="304"/>
      <c r="GN72" s="304"/>
      <c r="GO72" s="304"/>
      <c r="GP72" s="304"/>
      <c r="GQ72" s="317"/>
      <c r="GR72" s="304"/>
      <c r="GS72" s="304"/>
      <c r="GT72" s="304"/>
      <c r="GU72" s="304"/>
      <c r="GV72" s="304"/>
      <c r="GW72" s="304"/>
      <c r="GX72" s="304"/>
      <c r="GZ72" s="304"/>
      <c r="HA72" s="304"/>
      <c r="HB72" s="304"/>
      <c r="HC72" s="317"/>
      <c r="HD72" s="304"/>
      <c r="HE72" s="304"/>
      <c r="HF72" s="304"/>
      <c r="HG72" s="304"/>
      <c r="HH72" s="304"/>
      <c r="HI72" s="304"/>
      <c r="HJ72" s="304"/>
      <c r="HL72" s="304"/>
      <c r="HM72" s="304"/>
      <c r="HN72" s="304"/>
      <c r="HO72" s="317"/>
      <c r="HP72" s="304"/>
      <c r="HQ72" s="304"/>
      <c r="HR72" s="304"/>
      <c r="HS72" s="304"/>
      <c r="HT72" s="304"/>
      <c r="HU72" s="304"/>
      <c r="HV72" s="304"/>
      <c r="HX72" s="304"/>
      <c r="HY72" s="304"/>
      <c r="HZ72" s="304"/>
      <c r="IA72" s="317"/>
      <c r="IB72" s="304"/>
      <c r="IC72" s="304"/>
      <c r="ID72" s="304"/>
      <c r="IE72" s="304"/>
      <c r="IF72" s="304"/>
      <c r="IG72" s="304"/>
      <c r="IH72" s="304"/>
    </row>
    <row r="73" spans="3:242">
      <c r="F73" s="302"/>
      <c r="R73" s="302"/>
      <c r="AD73" s="302"/>
      <c r="AP73" s="302"/>
      <c r="BB73" s="302"/>
      <c r="BN73" s="302"/>
      <c r="BZ73" s="302"/>
      <c r="CL73" s="302"/>
      <c r="CX73" s="302"/>
      <c r="DJ73" s="302"/>
      <c r="DV73" s="302"/>
      <c r="EH73" s="302"/>
      <c r="EU73" s="302"/>
      <c r="FG73" s="302"/>
      <c r="FS73" s="302"/>
      <c r="GE73" s="302"/>
      <c r="GQ73" s="302"/>
      <c r="HC73" s="302"/>
      <c r="HO73" s="302"/>
      <c r="IA73" s="302"/>
    </row>
    <row r="74" spans="3:242">
      <c r="F74" s="303"/>
      <c r="R74" s="303"/>
      <c r="AD74" s="303"/>
      <c r="AP74" s="303"/>
      <c r="BB74" s="303"/>
      <c r="BN74" s="303"/>
      <c r="BZ74" s="303"/>
      <c r="CL74" s="303"/>
      <c r="CX74" s="303"/>
      <c r="DJ74" s="303"/>
      <c r="DV74" s="303"/>
      <c r="EH74" s="303"/>
      <c r="EU74" s="303"/>
      <c r="FG74" s="303"/>
      <c r="FS74" s="303"/>
      <c r="GE74" s="303"/>
      <c r="GQ74" s="303"/>
      <c r="HC74" s="303"/>
      <c r="HO74" s="303"/>
      <c r="IA74" s="303"/>
    </row>
    <row r="75" spans="3:242">
      <c r="F75" s="302"/>
      <c r="R75" s="302"/>
      <c r="AD75" s="302"/>
      <c r="AP75" s="302"/>
      <c r="BB75" s="302"/>
      <c r="BN75" s="302"/>
      <c r="BZ75" s="302"/>
      <c r="CL75" s="302"/>
      <c r="CX75" s="302"/>
      <c r="DJ75" s="302"/>
      <c r="DV75" s="302"/>
      <c r="EH75" s="302"/>
      <c r="EU75" s="302"/>
      <c r="FG75" s="302"/>
      <c r="FS75" s="302"/>
      <c r="GE75" s="302"/>
      <c r="GQ75" s="302"/>
      <c r="HC75" s="302"/>
      <c r="HO75" s="302"/>
      <c r="IA75" s="302"/>
    </row>
    <row r="76" spans="3:242">
      <c r="F76" s="733" t="s">
        <v>317</v>
      </c>
      <c r="G76" s="733"/>
      <c r="H76" s="733"/>
      <c r="I76" s="733"/>
      <c r="J76" s="733"/>
      <c r="R76" s="733" t="s">
        <v>317</v>
      </c>
      <c r="S76" s="733"/>
      <c r="T76" s="733"/>
      <c r="U76" s="733"/>
      <c r="V76" s="733"/>
      <c r="AD76" s="733" t="s">
        <v>317</v>
      </c>
      <c r="AE76" s="733"/>
      <c r="AF76" s="733"/>
      <c r="AG76" s="733"/>
      <c r="AH76" s="733"/>
      <c r="AP76" s="733" t="s">
        <v>317</v>
      </c>
      <c r="AQ76" s="733"/>
      <c r="AR76" s="733"/>
      <c r="AS76" s="733"/>
      <c r="AT76" s="733"/>
      <c r="BB76" s="733" t="s">
        <v>317</v>
      </c>
      <c r="BC76" s="733"/>
      <c r="BD76" s="733"/>
      <c r="BE76" s="733"/>
      <c r="BF76" s="733"/>
      <c r="BN76" s="733" t="s">
        <v>317</v>
      </c>
      <c r="BO76" s="733"/>
      <c r="BP76" s="733"/>
      <c r="BQ76" s="733"/>
      <c r="BR76" s="733"/>
      <c r="BZ76" s="733" t="s">
        <v>317</v>
      </c>
      <c r="CA76" s="733"/>
      <c r="CB76" s="733"/>
      <c r="CC76" s="733"/>
      <c r="CD76" s="733"/>
      <c r="CL76" s="733" t="s">
        <v>317</v>
      </c>
      <c r="CM76" s="733"/>
      <c r="CN76" s="733"/>
      <c r="CO76" s="733"/>
      <c r="CP76" s="733"/>
      <c r="CX76" s="733" t="s">
        <v>317</v>
      </c>
      <c r="CY76" s="733"/>
      <c r="CZ76" s="733"/>
      <c r="DA76" s="733"/>
      <c r="DB76" s="733"/>
      <c r="DJ76" s="733" t="s">
        <v>317</v>
      </c>
      <c r="DK76" s="733"/>
      <c r="DL76" s="733"/>
      <c r="DM76" s="733"/>
      <c r="DN76" s="733"/>
      <c r="DV76" s="733" t="s">
        <v>317</v>
      </c>
      <c r="DW76" s="733"/>
      <c r="DX76" s="733"/>
      <c r="DY76" s="733"/>
      <c r="DZ76" s="733"/>
      <c r="EH76" s="733" t="s">
        <v>317</v>
      </c>
      <c r="EI76" s="733"/>
      <c r="EJ76" s="733"/>
      <c r="EK76" s="733"/>
      <c r="EL76" s="733"/>
      <c r="EU76" s="733" t="s">
        <v>317</v>
      </c>
      <c r="EV76" s="733"/>
      <c r="EW76" s="733"/>
      <c r="EX76" s="733"/>
      <c r="EY76" s="733"/>
      <c r="FG76" s="733" t="s">
        <v>317</v>
      </c>
      <c r="FH76" s="733"/>
      <c r="FI76" s="733"/>
      <c r="FJ76" s="733"/>
      <c r="FK76" s="733"/>
      <c r="FS76" s="733" t="s">
        <v>317</v>
      </c>
      <c r="FT76" s="733"/>
      <c r="FU76" s="733"/>
      <c r="FV76" s="733"/>
      <c r="FW76" s="733"/>
      <c r="GE76" s="733" t="s">
        <v>317</v>
      </c>
      <c r="GF76" s="733"/>
      <c r="GG76" s="733"/>
      <c r="GH76" s="733"/>
      <c r="GI76" s="733"/>
      <c r="GQ76" s="733" t="s">
        <v>317</v>
      </c>
      <c r="GR76" s="733"/>
      <c r="GS76" s="733"/>
      <c r="GT76" s="733"/>
      <c r="GU76" s="733"/>
      <c r="HC76" s="733" t="s">
        <v>317</v>
      </c>
      <c r="HD76" s="733"/>
      <c r="HE76" s="733"/>
      <c r="HF76" s="733"/>
      <c r="HG76" s="733"/>
      <c r="HO76" s="733" t="s">
        <v>317</v>
      </c>
      <c r="HP76" s="733"/>
      <c r="HQ76" s="733"/>
      <c r="HR76" s="733"/>
      <c r="HS76" s="733"/>
      <c r="IA76" s="733" t="s">
        <v>317</v>
      </c>
      <c r="IB76" s="733"/>
      <c r="IC76" s="733"/>
      <c r="ID76" s="733"/>
      <c r="IE76" s="733"/>
    </row>
    <row r="79" spans="3:242">
      <c r="C79" s="302"/>
      <c r="O79" s="302"/>
      <c r="AA79" s="302"/>
      <c r="AM79" s="302"/>
      <c r="AY79" s="302"/>
      <c r="BK79" s="302"/>
      <c r="BW79" s="302"/>
      <c r="CI79" s="302"/>
      <c r="CU79" s="302"/>
      <c r="DG79" s="302"/>
      <c r="DS79" s="302"/>
      <c r="EE79" s="302"/>
      <c r="ER79" s="302"/>
      <c r="FD79" s="302"/>
      <c r="FP79" s="302"/>
      <c r="GB79" s="302"/>
      <c r="GN79" s="302"/>
      <c r="GZ79" s="302"/>
      <c r="HL79" s="302"/>
      <c r="HX79" s="302"/>
    </row>
    <row r="81" spans="6:239" ht="14.5" thickBot="1">
      <c r="F81" s="732" t="str">
        <f>Signatories!C9</f>
        <v>JANICE B. SOLAYAO</v>
      </c>
      <c r="G81" s="732"/>
      <c r="H81" s="732"/>
      <c r="I81" s="732"/>
      <c r="J81" s="732"/>
      <c r="R81" s="732" t="str">
        <f>F81</f>
        <v>JANICE B. SOLAYAO</v>
      </c>
      <c r="S81" s="732"/>
      <c r="T81" s="732"/>
      <c r="U81" s="732"/>
      <c r="V81" s="732"/>
      <c r="AD81" s="732" t="str">
        <f>R81</f>
        <v>JANICE B. SOLAYAO</v>
      </c>
      <c r="AE81" s="732"/>
      <c r="AF81" s="732"/>
      <c r="AG81" s="732"/>
      <c r="AH81" s="732"/>
      <c r="AP81" s="732" t="str">
        <f>AD81</f>
        <v>JANICE B. SOLAYAO</v>
      </c>
      <c r="AQ81" s="732"/>
      <c r="AR81" s="732"/>
      <c r="AS81" s="732"/>
      <c r="AT81" s="732"/>
      <c r="BB81" s="732" t="str">
        <f>AP81</f>
        <v>JANICE B. SOLAYAO</v>
      </c>
      <c r="BC81" s="732"/>
      <c r="BD81" s="732"/>
      <c r="BE81" s="732"/>
      <c r="BF81" s="732"/>
      <c r="BN81" s="732" t="str">
        <f>BB81</f>
        <v>JANICE B. SOLAYAO</v>
      </c>
      <c r="BO81" s="732"/>
      <c r="BP81" s="732"/>
      <c r="BQ81" s="732"/>
      <c r="BR81" s="732"/>
      <c r="BZ81" s="732" t="str">
        <f>BN81</f>
        <v>JANICE B. SOLAYAO</v>
      </c>
      <c r="CA81" s="732"/>
      <c r="CB81" s="732"/>
      <c r="CC81" s="732"/>
      <c r="CD81" s="732"/>
      <c r="CL81" s="732" t="str">
        <f>BZ81</f>
        <v>JANICE B. SOLAYAO</v>
      </c>
      <c r="CM81" s="732"/>
      <c r="CN81" s="732"/>
      <c r="CO81" s="732"/>
      <c r="CP81" s="732"/>
      <c r="CX81" s="732" t="str">
        <f>CL81</f>
        <v>JANICE B. SOLAYAO</v>
      </c>
      <c r="CY81" s="732"/>
      <c r="CZ81" s="732"/>
      <c r="DA81" s="732"/>
      <c r="DB81" s="732"/>
      <c r="DJ81" s="732" t="str">
        <f>CX81</f>
        <v>JANICE B. SOLAYAO</v>
      </c>
      <c r="DK81" s="732"/>
      <c r="DL81" s="732"/>
      <c r="DM81" s="732"/>
      <c r="DN81" s="732"/>
      <c r="DV81" s="732" t="str">
        <f>DJ81</f>
        <v>JANICE B. SOLAYAO</v>
      </c>
      <c r="DW81" s="732"/>
      <c r="DX81" s="732"/>
      <c r="DY81" s="732"/>
      <c r="DZ81" s="732"/>
      <c r="EH81" s="732" t="str">
        <f>DV81</f>
        <v>JANICE B. SOLAYAO</v>
      </c>
      <c r="EI81" s="732"/>
      <c r="EJ81" s="732"/>
      <c r="EK81" s="732"/>
      <c r="EL81" s="732"/>
      <c r="EU81" s="732" t="str">
        <f>EH81</f>
        <v>JANICE B. SOLAYAO</v>
      </c>
      <c r="EV81" s="732"/>
      <c r="EW81" s="732"/>
      <c r="EX81" s="732"/>
      <c r="EY81" s="732"/>
      <c r="FG81" s="732" t="str">
        <f>EU81</f>
        <v>JANICE B. SOLAYAO</v>
      </c>
      <c r="FH81" s="732"/>
      <c r="FI81" s="732"/>
      <c r="FJ81" s="732"/>
      <c r="FK81" s="732"/>
      <c r="FS81" s="732" t="str">
        <f>FG81</f>
        <v>JANICE B. SOLAYAO</v>
      </c>
      <c r="FT81" s="732"/>
      <c r="FU81" s="732"/>
      <c r="FV81" s="732"/>
      <c r="FW81" s="732"/>
      <c r="GE81" s="732" t="str">
        <f>FS81</f>
        <v>JANICE B. SOLAYAO</v>
      </c>
      <c r="GF81" s="732"/>
      <c r="GG81" s="732"/>
      <c r="GH81" s="732"/>
      <c r="GI81" s="732"/>
      <c r="GQ81" s="732" t="str">
        <f>GE81</f>
        <v>JANICE B. SOLAYAO</v>
      </c>
      <c r="GR81" s="732"/>
      <c r="GS81" s="732"/>
      <c r="GT81" s="732"/>
      <c r="GU81" s="732"/>
      <c r="HC81" s="732" t="str">
        <f>GQ81</f>
        <v>JANICE B. SOLAYAO</v>
      </c>
      <c r="HD81" s="732"/>
      <c r="HE81" s="732"/>
      <c r="HF81" s="732"/>
      <c r="HG81" s="732"/>
      <c r="HO81" s="732" t="str">
        <f>HC81</f>
        <v>JANICE B. SOLAYAO</v>
      </c>
      <c r="HP81" s="732"/>
      <c r="HQ81" s="732"/>
      <c r="HR81" s="732"/>
      <c r="HS81" s="732"/>
      <c r="IA81" s="732" t="str">
        <f>HO81</f>
        <v>JANICE B. SOLAYAO</v>
      </c>
      <c r="IB81" s="732"/>
      <c r="IC81" s="732"/>
      <c r="ID81" s="732"/>
      <c r="IE81" s="732"/>
    </row>
    <row r="82" spans="6:239">
      <c r="F82" s="733" t="s">
        <v>318</v>
      </c>
      <c r="G82" s="733"/>
      <c r="H82" s="733"/>
      <c r="I82" s="733"/>
      <c r="J82" s="733"/>
      <c r="R82" s="733" t="s">
        <v>318</v>
      </c>
      <c r="S82" s="733"/>
      <c r="T82" s="733"/>
      <c r="U82" s="733"/>
      <c r="V82" s="733"/>
      <c r="AD82" s="733" t="s">
        <v>318</v>
      </c>
      <c r="AE82" s="733"/>
      <c r="AF82" s="733"/>
      <c r="AG82" s="733"/>
      <c r="AH82" s="733"/>
      <c r="AP82" s="733" t="s">
        <v>318</v>
      </c>
      <c r="AQ82" s="733"/>
      <c r="AR82" s="733"/>
      <c r="AS82" s="733"/>
      <c r="AT82" s="733"/>
      <c r="BB82" s="733" t="s">
        <v>318</v>
      </c>
      <c r="BC82" s="733"/>
      <c r="BD82" s="733"/>
      <c r="BE82" s="733"/>
      <c r="BF82" s="733"/>
      <c r="BN82" s="733" t="s">
        <v>318</v>
      </c>
      <c r="BO82" s="733"/>
      <c r="BP82" s="733"/>
      <c r="BQ82" s="733"/>
      <c r="BR82" s="733"/>
      <c r="BZ82" s="733" t="s">
        <v>318</v>
      </c>
      <c r="CA82" s="733"/>
      <c r="CB82" s="733"/>
      <c r="CC82" s="733"/>
      <c r="CD82" s="733"/>
      <c r="CL82" s="733" t="s">
        <v>318</v>
      </c>
      <c r="CM82" s="733"/>
      <c r="CN82" s="733"/>
      <c r="CO82" s="733"/>
      <c r="CP82" s="733"/>
      <c r="CX82" s="733" t="s">
        <v>318</v>
      </c>
      <c r="CY82" s="733"/>
      <c r="CZ82" s="733"/>
      <c r="DA82" s="733"/>
      <c r="DB82" s="733"/>
      <c r="DJ82" s="733" t="s">
        <v>318</v>
      </c>
      <c r="DK82" s="733"/>
      <c r="DL82" s="733"/>
      <c r="DM82" s="733"/>
      <c r="DN82" s="733"/>
      <c r="DV82" s="733" t="s">
        <v>318</v>
      </c>
      <c r="DW82" s="733"/>
      <c r="DX82" s="733"/>
      <c r="DY82" s="733"/>
      <c r="DZ82" s="733"/>
      <c r="EH82" s="733" t="s">
        <v>318</v>
      </c>
      <c r="EI82" s="733"/>
      <c r="EJ82" s="733"/>
      <c r="EK82" s="733"/>
      <c r="EL82" s="733"/>
      <c r="EU82" s="733" t="s">
        <v>318</v>
      </c>
      <c r="EV82" s="733"/>
      <c r="EW82" s="733"/>
      <c r="EX82" s="733"/>
      <c r="EY82" s="733"/>
      <c r="FG82" s="733" t="s">
        <v>318</v>
      </c>
      <c r="FH82" s="733"/>
      <c r="FI82" s="733"/>
      <c r="FJ82" s="733"/>
      <c r="FK82" s="733"/>
      <c r="FS82" s="733" t="s">
        <v>318</v>
      </c>
      <c r="FT82" s="733"/>
      <c r="FU82" s="733"/>
      <c r="FV82" s="733"/>
      <c r="FW82" s="733"/>
      <c r="GE82" s="733" t="s">
        <v>318</v>
      </c>
      <c r="GF82" s="733"/>
      <c r="GG82" s="733"/>
      <c r="GH82" s="733"/>
      <c r="GI82" s="733"/>
      <c r="GQ82" s="733" t="s">
        <v>318</v>
      </c>
      <c r="GR82" s="733"/>
      <c r="GS82" s="733"/>
      <c r="GT82" s="733"/>
      <c r="GU82" s="733"/>
      <c r="HC82" s="733" t="s">
        <v>318</v>
      </c>
      <c r="HD82" s="733"/>
      <c r="HE82" s="733"/>
      <c r="HF82" s="733"/>
      <c r="HG82" s="733"/>
      <c r="HO82" s="733" t="s">
        <v>318</v>
      </c>
      <c r="HP82" s="733"/>
      <c r="HQ82" s="733"/>
      <c r="HR82" s="733"/>
      <c r="HS82" s="733"/>
      <c r="IA82" s="733" t="s">
        <v>318</v>
      </c>
      <c r="IB82" s="733"/>
      <c r="IC82" s="733"/>
      <c r="ID82" s="733"/>
      <c r="IE82" s="733"/>
    </row>
    <row r="89" spans="6:239">
      <c r="I89" s="300"/>
      <c r="U89" s="300"/>
      <c r="AG89" s="300"/>
      <c r="AS89" s="300"/>
      <c r="BE89" s="300"/>
      <c r="BQ89" s="300"/>
      <c r="CC89" s="300"/>
      <c r="CO89" s="300"/>
      <c r="DA89" s="300"/>
      <c r="DM89" s="300"/>
      <c r="DY89" s="300"/>
      <c r="EK89" s="300"/>
      <c r="EX89" s="300"/>
      <c r="FJ89" s="300"/>
      <c r="FV89" s="300"/>
      <c r="GH89" s="300"/>
      <c r="GT89" s="300"/>
      <c r="HF89" s="300"/>
      <c r="HR89" s="300"/>
      <c r="ID89" s="300"/>
    </row>
  </sheetData>
  <mergeCells count="260">
    <mergeCell ref="F5:K6"/>
    <mergeCell ref="R5:W6"/>
    <mergeCell ref="AD5:AI6"/>
    <mergeCell ref="AP5:AU6"/>
    <mergeCell ref="CX5:DC6"/>
    <mergeCell ref="DJ5:DO6"/>
    <mergeCell ref="DV5:EA6"/>
    <mergeCell ref="EH5:EM6"/>
    <mergeCell ref="BB5:BG6"/>
    <mergeCell ref="BN5:BS6"/>
    <mergeCell ref="BZ5:CE6"/>
    <mergeCell ref="CL5:CQ6"/>
    <mergeCell ref="HO5:HT6"/>
    <mergeCell ref="IA5:IF6"/>
    <mergeCell ref="EU5:EZ6"/>
    <mergeCell ref="FG5:FL6"/>
    <mergeCell ref="FS5:FX6"/>
    <mergeCell ref="GE5:GJ6"/>
    <mergeCell ref="GQ5:GV6"/>
    <mergeCell ref="HC5:HH6"/>
    <mergeCell ref="F82:J82"/>
    <mergeCell ref="C69:G69"/>
    <mergeCell ref="I69:M69"/>
    <mergeCell ref="I70:M70"/>
    <mergeCell ref="C70:G70"/>
    <mergeCell ref="F76:J76"/>
    <mergeCell ref="F81:J81"/>
    <mergeCell ref="U70:Y70"/>
    <mergeCell ref="R76:V76"/>
    <mergeCell ref="R81:V81"/>
    <mergeCell ref="R82:V82"/>
    <mergeCell ref="O69:S69"/>
    <mergeCell ref="U69:Y69"/>
    <mergeCell ref="O70:S70"/>
    <mergeCell ref="O62:U62"/>
    <mergeCell ref="W62:Y62"/>
    <mergeCell ref="F49:K50"/>
    <mergeCell ref="C59:F59"/>
    <mergeCell ref="C62:I62"/>
    <mergeCell ref="K62:M62"/>
    <mergeCell ref="C54:N54"/>
    <mergeCell ref="R49:W50"/>
    <mergeCell ref="O54:Z54"/>
    <mergeCell ref="O59:R59"/>
    <mergeCell ref="AD82:AH82"/>
    <mergeCell ref="AD49:AI50"/>
    <mergeCell ref="AA54:AL54"/>
    <mergeCell ref="AA59:AD59"/>
    <mergeCell ref="AA62:AG62"/>
    <mergeCell ref="AI62:AK62"/>
    <mergeCell ref="AA69:AE69"/>
    <mergeCell ref="AG69:AK69"/>
    <mergeCell ref="AA70:AE70"/>
    <mergeCell ref="AG70:AK70"/>
    <mergeCell ref="AP49:AU50"/>
    <mergeCell ref="AM54:AX54"/>
    <mergeCell ref="AM59:AP59"/>
    <mergeCell ref="AM62:AS62"/>
    <mergeCell ref="AU62:AW62"/>
    <mergeCell ref="AM69:AQ69"/>
    <mergeCell ref="AS69:AW69"/>
    <mergeCell ref="AM70:AQ70"/>
    <mergeCell ref="AS70:AW70"/>
    <mergeCell ref="AY69:BC69"/>
    <mergeCell ref="BE69:BI69"/>
    <mergeCell ref="AY70:BC70"/>
    <mergeCell ref="BE70:BI70"/>
    <mergeCell ref="AP76:AT76"/>
    <mergeCell ref="AP81:AT81"/>
    <mergeCell ref="AD76:AH76"/>
    <mergeCell ref="AD81:AH81"/>
    <mergeCell ref="AP82:AT82"/>
    <mergeCell ref="BW69:CA69"/>
    <mergeCell ref="CC69:CG69"/>
    <mergeCell ref="BW70:CA70"/>
    <mergeCell ref="CC70:CG70"/>
    <mergeCell ref="BB82:BF82"/>
    <mergeCell ref="BN49:BS50"/>
    <mergeCell ref="BK54:BV54"/>
    <mergeCell ref="BK59:BN59"/>
    <mergeCell ref="BK62:BQ62"/>
    <mergeCell ref="BS62:BU62"/>
    <mergeCell ref="BK69:BO69"/>
    <mergeCell ref="BQ69:BU69"/>
    <mergeCell ref="BK70:BO70"/>
    <mergeCell ref="BQ70:BU70"/>
    <mergeCell ref="BN76:BR76"/>
    <mergeCell ref="BN81:BR81"/>
    <mergeCell ref="BB76:BF76"/>
    <mergeCell ref="BB81:BF81"/>
    <mergeCell ref="BN82:BR82"/>
    <mergeCell ref="BB49:BG50"/>
    <mergeCell ref="AY54:BJ54"/>
    <mergeCell ref="AY59:BB59"/>
    <mergeCell ref="AY62:BE62"/>
    <mergeCell ref="BG62:BI62"/>
    <mergeCell ref="CU69:CY69"/>
    <mergeCell ref="DA69:DE69"/>
    <mergeCell ref="CU70:CY70"/>
    <mergeCell ref="DA70:DE70"/>
    <mergeCell ref="BZ82:CD82"/>
    <mergeCell ref="CL49:CQ50"/>
    <mergeCell ref="CI54:CT54"/>
    <mergeCell ref="CI59:CL59"/>
    <mergeCell ref="CI62:CO62"/>
    <mergeCell ref="CQ62:CS62"/>
    <mergeCell ref="CI69:CM69"/>
    <mergeCell ref="CO69:CS69"/>
    <mergeCell ref="CI70:CM70"/>
    <mergeCell ref="CO70:CS70"/>
    <mergeCell ref="CL76:CP76"/>
    <mergeCell ref="CL81:CP81"/>
    <mergeCell ref="BZ76:CD76"/>
    <mergeCell ref="BZ81:CD81"/>
    <mergeCell ref="CL82:CP82"/>
    <mergeCell ref="BZ49:CE50"/>
    <mergeCell ref="BW54:CH54"/>
    <mergeCell ref="BW59:BZ59"/>
    <mergeCell ref="BW62:CC62"/>
    <mergeCell ref="CE62:CG62"/>
    <mergeCell ref="DS69:DW69"/>
    <mergeCell ref="DY69:EC69"/>
    <mergeCell ref="DS70:DW70"/>
    <mergeCell ref="DY70:EC70"/>
    <mergeCell ref="CX82:DB82"/>
    <mergeCell ref="DJ49:DO50"/>
    <mergeCell ref="DG54:DR54"/>
    <mergeCell ref="DG59:DJ59"/>
    <mergeCell ref="DG62:DM62"/>
    <mergeCell ref="DO62:DQ62"/>
    <mergeCell ref="DG69:DK69"/>
    <mergeCell ref="DM69:DQ69"/>
    <mergeCell ref="DG70:DK70"/>
    <mergeCell ref="DM70:DQ70"/>
    <mergeCell ref="DJ76:DN76"/>
    <mergeCell ref="DJ81:DN81"/>
    <mergeCell ref="CX76:DB76"/>
    <mergeCell ref="CX81:DB81"/>
    <mergeCell ref="DJ82:DN82"/>
    <mergeCell ref="CX49:DC50"/>
    <mergeCell ref="CU54:DF54"/>
    <mergeCell ref="CU59:CX59"/>
    <mergeCell ref="CU62:DA62"/>
    <mergeCell ref="DC62:DE62"/>
    <mergeCell ref="ER69:EV69"/>
    <mergeCell ref="EX69:FB69"/>
    <mergeCell ref="ER70:EV70"/>
    <mergeCell ref="EX70:FB70"/>
    <mergeCell ref="DV82:DZ82"/>
    <mergeCell ref="EH49:EM50"/>
    <mergeCell ref="EE54:EP54"/>
    <mergeCell ref="EE59:EH59"/>
    <mergeCell ref="EE62:EK62"/>
    <mergeCell ref="EM62:EO62"/>
    <mergeCell ref="EE69:EI69"/>
    <mergeCell ref="EK69:EO69"/>
    <mergeCell ref="EE70:EI70"/>
    <mergeCell ref="EK70:EO70"/>
    <mergeCell ref="EH76:EL76"/>
    <mergeCell ref="EH81:EL81"/>
    <mergeCell ref="DV76:DZ76"/>
    <mergeCell ref="DV81:DZ81"/>
    <mergeCell ref="EH82:EL82"/>
    <mergeCell ref="DV49:EA50"/>
    <mergeCell ref="DS54:ED54"/>
    <mergeCell ref="DS59:DV59"/>
    <mergeCell ref="DS62:DY62"/>
    <mergeCell ref="EA62:EC62"/>
    <mergeCell ref="FP69:FT69"/>
    <mergeCell ref="FV69:FZ69"/>
    <mergeCell ref="FP70:FT70"/>
    <mergeCell ref="FV70:FZ70"/>
    <mergeCell ref="EU82:EY82"/>
    <mergeCell ref="FG49:FL50"/>
    <mergeCell ref="FD54:FO54"/>
    <mergeCell ref="FD59:FG59"/>
    <mergeCell ref="FD62:FJ62"/>
    <mergeCell ref="FL62:FN62"/>
    <mergeCell ref="FD69:FH69"/>
    <mergeCell ref="FJ69:FN69"/>
    <mergeCell ref="FD70:FH70"/>
    <mergeCell ref="FJ70:FN70"/>
    <mergeCell ref="FG76:FK76"/>
    <mergeCell ref="FG81:FK81"/>
    <mergeCell ref="EU76:EY76"/>
    <mergeCell ref="EU81:EY81"/>
    <mergeCell ref="FG82:FK82"/>
    <mergeCell ref="EU49:EZ50"/>
    <mergeCell ref="ER54:FC54"/>
    <mergeCell ref="ER59:EU59"/>
    <mergeCell ref="ER62:EX62"/>
    <mergeCell ref="EZ62:FB62"/>
    <mergeCell ref="GZ70:HD70"/>
    <mergeCell ref="HF70:HJ70"/>
    <mergeCell ref="GZ69:HD69"/>
    <mergeCell ref="HF69:HJ69"/>
    <mergeCell ref="FS82:FW82"/>
    <mergeCell ref="GE49:GJ50"/>
    <mergeCell ref="GB54:GM54"/>
    <mergeCell ref="GB59:GE59"/>
    <mergeCell ref="GB62:GH62"/>
    <mergeCell ref="GJ62:GL62"/>
    <mergeCell ref="GB69:GF69"/>
    <mergeCell ref="GH69:GL69"/>
    <mergeCell ref="GB70:GF70"/>
    <mergeCell ref="GH70:GL70"/>
    <mergeCell ref="GE76:GI76"/>
    <mergeCell ref="GE81:GI81"/>
    <mergeCell ref="FS76:FW76"/>
    <mergeCell ref="FS81:FW81"/>
    <mergeCell ref="GE82:GI82"/>
    <mergeCell ref="FS49:FX50"/>
    <mergeCell ref="FP54:GA54"/>
    <mergeCell ref="FP59:FS59"/>
    <mergeCell ref="FP62:FV62"/>
    <mergeCell ref="FX62:FZ62"/>
    <mergeCell ref="HC82:HG82"/>
    <mergeCell ref="GQ49:GV50"/>
    <mergeCell ref="GN54:GY54"/>
    <mergeCell ref="GN59:GQ59"/>
    <mergeCell ref="GN62:GT62"/>
    <mergeCell ref="GV62:GX62"/>
    <mergeCell ref="HL69:HP69"/>
    <mergeCell ref="HR69:HV69"/>
    <mergeCell ref="HO81:HS81"/>
    <mergeCell ref="HO82:HS82"/>
    <mergeCell ref="HC76:HG76"/>
    <mergeCell ref="HC81:HG81"/>
    <mergeCell ref="GQ76:GU76"/>
    <mergeCell ref="GQ81:GU81"/>
    <mergeCell ref="GQ82:GU82"/>
    <mergeCell ref="HC49:HH50"/>
    <mergeCell ref="GZ54:HK54"/>
    <mergeCell ref="GZ59:HC59"/>
    <mergeCell ref="GZ62:HF62"/>
    <mergeCell ref="HH62:HJ62"/>
    <mergeCell ref="GN69:GR69"/>
    <mergeCell ref="GT69:GX69"/>
    <mergeCell ref="GN70:GR70"/>
    <mergeCell ref="GT70:GX70"/>
    <mergeCell ref="HO49:HT50"/>
    <mergeCell ref="HO76:HS76"/>
    <mergeCell ref="HL70:HP70"/>
    <mergeCell ref="HR70:HV70"/>
    <mergeCell ref="IA76:IE76"/>
    <mergeCell ref="HX70:IB70"/>
    <mergeCell ref="HL54:HW54"/>
    <mergeCell ref="HL59:HO59"/>
    <mergeCell ref="HL62:HR62"/>
    <mergeCell ref="HT62:HV62"/>
    <mergeCell ref="IA81:IE81"/>
    <mergeCell ref="IA82:IE82"/>
    <mergeCell ref="ID70:IH70"/>
    <mergeCell ref="IA49:IF50"/>
    <mergeCell ref="HX54:II54"/>
    <mergeCell ref="HX59:IA59"/>
    <mergeCell ref="HX62:ID62"/>
    <mergeCell ref="IF62:IH62"/>
    <mergeCell ref="HX69:IB69"/>
    <mergeCell ref="ID69:IH69"/>
  </mergeCells>
  <phoneticPr fontId="0" type="noConversion"/>
  <pageMargins left="0.7" right="0.7" top="0.75" bottom="0.75" header="0.3" footer="0.3"/>
  <pageSetup paperSize="9" scale="71" orientation="portrait" horizontalDpi="300" verticalDpi="300" r:id="rId1"/>
  <rowBreaks count="1" manualBreakCount="1">
    <brk id="43" min="1" max="242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C5:M42"/>
  <sheetViews>
    <sheetView view="pageBreakPreview" topLeftCell="A10" zoomScale="90" zoomScaleSheetLayoutView="9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FIELDS'!AV8," ",'INPUT FIELDS'!AV9," ",'INPUT FIELDS'!AV7)</f>
        <v>ALLAN GULFERIC LEJAS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FIELDS'!AV7),":")</f>
        <v>Lejas: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10">
        <f>'COMPUTATION SHEET'!AA26</f>
        <v>113000</v>
      </c>
      <c r="G24" s="304"/>
      <c r="H24" s="304" t="e">
        <f ca="1">words(F24)</f>
        <v>#NAME?</v>
      </c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SHEET'!AC26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SHEET'!AB26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/>
  <dimension ref="C5:M42"/>
  <sheetViews>
    <sheetView view="pageBreakPreview" topLeftCell="A11" zoomScale="80" zoomScaleSheetLayoutView="8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FIELDS'!AX8," ",'INPUT FIELDS'!AX9," ",'INPUT FIELDS'!AX7)</f>
        <v>JOSE JR ADESAS NUNEZ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FIELDS'!AX7),":")</f>
        <v>Nunez: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SHEET'!AA28</f>
        <v>196400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SHEET'!AC28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SHEET'!AB28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C5:M42"/>
  <sheetViews>
    <sheetView view="pageBreakPreview" zoomScale="90" zoomScaleSheetLayoutView="9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FIELDS'!AZ8," ",'INPUT FIELDS'!AZ9," ",'INPUT FIELDS'!AZ7)</f>
        <v>NESTOR PELENO LIMA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FIELDS'!AZ7),":")</f>
        <v>Lima: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SHEET'!AA30</f>
        <v>139500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SHEET'!AC30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SHEET'!AB30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C5:M42"/>
  <sheetViews>
    <sheetView view="pageBreakPreview" topLeftCell="A3" zoomScale="6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FIELDS'!BB8," ",'INPUT FIELDS'!BB9," ",'INPUT FIELDS'!BB7)</f>
        <v>MARCIANO JR HERNANDEZ ALEGRIA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FIELDS'!BB7),":")</f>
        <v>Alegria: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SHEET'!AA32</f>
        <v>137350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SHEET'!AC32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SHEET'!AB32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C5:M42"/>
  <sheetViews>
    <sheetView view="pageBreakPreview" topLeftCell="A24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FIELDS'!BD8," ",'INPUT FIELDS'!BD9," ",'INPUT FIELDS'!BD7)</f>
        <v>MANOLITO ABARRACOSO GACELOS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FIELDS'!BD7),":")</f>
        <v>Gacelos: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SHEET'!AA34</f>
        <v>150300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SHEET'!AC34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SHEET'!AB34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C5:M42"/>
  <sheetViews>
    <sheetView view="pageBreakPreview" topLeftCell="A12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FIELDS'!BF8," ",'INPUT FIELDS'!BF9," ",'INPUT FIELDS'!BF7)</f>
        <v>LEONILA HILONGO GONZALES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FIELDS'!BF7),":")</f>
        <v>Gonzales: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SHEET'!AA36</f>
        <v>433500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SHEET'!AC36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SHEET'!AB36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C5:M42"/>
  <sheetViews>
    <sheetView view="pageBreakPreview" topLeftCell="A12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FIELDS'!BH8," ",'INPUT FIELDS'!BH9," ",'INPUT FIELDS'!BH7)</f>
        <v>CHONA BRANZUELA MAYOR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FIELDS'!BH7),":")</f>
        <v>Mayor: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SHEET'!AA38</f>
        <v>186500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SHEET'!AC38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SHEET'!AB38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C5:M42"/>
  <sheetViews>
    <sheetView view="pageBreakPreview" topLeftCell="A12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FIELDS'!BJ8," ",'INPUT FIELDS'!BJ9," ",'INPUT FIELDS'!BJ7)</f>
        <v>JONAS ABELIDO YBOA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FIELDS'!BJ7),":")</f>
        <v>Yboa: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SHEET'!AA40</f>
        <v>165400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SHEET'!AC40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SHEET'!AB40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C5:M42"/>
  <sheetViews>
    <sheetView view="pageBreakPreview" topLeftCell="A3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FIELDS'!BL8," ",'INPUT FIELDS'!BL9," ",'INPUT FIELDS'!BL7)</f>
        <v>RUBIA ABARCAR GONZALES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FIELDS'!BL7),":")</f>
        <v>Gonzales: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SHEET'!AA42</f>
        <v>148900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SHEET'!AC42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SHEET'!AB42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C5:M42"/>
  <sheetViews>
    <sheetView view="pageBreakPreview" topLeftCell="A2" zoomScale="90" zoomScaleSheetLayoutView="9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FIELDS'!BN8," ",'INPUT FIELDS'!BN9," ",'INPUT FIELDS'!BN7)</f>
        <v>DOMINGO JR JADLOC ARCALES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FIELDS'!BN7),":")</f>
        <v>Arcales: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SHEET'!AA44</f>
        <v>188700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SHEET'!AC44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SHEET'!AB44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/>
  <dimension ref="C5:M42"/>
  <sheetViews>
    <sheetView view="pageBreakPreview" topLeftCell="A10" zoomScale="90" zoomScaleSheetLayoutView="9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FIELDS'!BP8," ",'INPUT FIELDS'!BP9," ",'INPUT FIELDS'!BP7)</f>
        <v>REBECCA TILLES GACELOS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FIELDS'!BP7),":")</f>
        <v>Gacelos: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SHEET'!AA46</f>
        <v>238900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SHEET'!AC46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SHEET'!AB46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C5:M42"/>
  <sheetViews>
    <sheetView view="pageBreakPreview" topLeftCell="A12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FIELDS'!BR8," ",'INPUT FIELDS'!BR9," ",'INPUT FIELDS'!BR7)</f>
        <v>NARCISA  CAMUIN TONELETE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FIELDS'!BR7),":")</f>
        <v>Tonelete: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SHEET'!AA48</f>
        <v>321000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SHEET'!AC48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SHEET'!AB48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C5:M42"/>
  <sheetViews>
    <sheetView view="pageBreakPreview" topLeftCell="A12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FIELDS'!BT8," ",'INPUT FIELDS'!BT9," ",'INPUT FIELDS'!BT7)</f>
        <v>MA WINONA CON UI GABON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FIELDS'!BT7),":")</f>
        <v>Gabon: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SHEET'!AA50</f>
        <v>266300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SHEET'!AC50</f>
        <v>48</v>
      </c>
      <c r="G25" s="301" t="s">
        <v>280</v>
      </c>
    </row>
    <row r="26" spans="3:13">
      <c r="C26" s="301" t="s">
        <v>279</v>
      </c>
      <c r="E26" s="301" t="s">
        <v>278</v>
      </c>
      <c r="F26" s="303">
        <f>'COMPUTATION SHEET'!AB50</f>
        <v>0.15810000000000002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C5:M42"/>
  <sheetViews>
    <sheetView view="pageBreakPreview" topLeftCell="A8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FIELDS'!BV8," ",'INPUT FIELDS'!BV9," ",'INPUT FIELDS'!BV7)</f>
        <v xml:space="preserve">  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FIELDS'!BV7),":")</f>
        <v>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SHEET'!AA52</f>
        <v>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SHEET'!AC52</f>
        <v>0</v>
      </c>
      <c r="G25" s="301" t="s">
        <v>280</v>
      </c>
    </row>
    <row r="26" spans="3:13">
      <c r="C26" s="301" t="s">
        <v>279</v>
      </c>
      <c r="E26" s="301" t="s">
        <v>278</v>
      </c>
      <c r="F26" s="303" t="str">
        <f>'COMPUTATION SHEET'!AB52</f>
        <v xml:space="preserve"> 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C5:M42"/>
  <sheetViews>
    <sheetView view="pageBreakPreview" topLeftCell="A19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FIELDS'!BX8," ",'INPUT FIELDS'!BX9," ",'INPUT FIELDS'!BX7)</f>
        <v xml:space="preserve">  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FIELDS'!BX7),":")</f>
        <v>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SHEET'!AA54</f>
        <v>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SHEET'!AC54</f>
        <v>0</v>
      </c>
      <c r="G25" s="301" t="s">
        <v>280</v>
      </c>
    </row>
    <row r="26" spans="3:13">
      <c r="C26" s="301" t="s">
        <v>279</v>
      </c>
      <c r="E26" s="301" t="s">
        <v>278</v>
      </c>
      <c r="F26" s="303" t="str">
        <f>'COMPUTATION SHEET'!AB54</f>
        <v xml:space="preserve"> 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/>
  <dimension ref="C5:M42"/>
  <sheetViews>
    <sheetView view="pageBreakPreview" topLeftCell="A12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FIELDS'!BZ8," ",'INPUT FIELDS'!BZ9," ",'INPUT FIELDS'!BZ7)</f>
        <v xml:space="preserve">  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FIELDS'!BZ7),":")</f>
        <v>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SHEET'!AA56</f>
        <v>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SHEET'!AC56</f>
        <v>0</v>
      </c>
      <c r="G25" s="301" t="s">
        <v>280</v>
      </c>
    </row>
    <row r="26" spans="3:13">
      <c r="C26" s="301" t="s">
        <v>279</v>
      </c>
      <c r="E26" s="301" t="s">
        <v>278</v>
      </c>
      <c r="F26" s="303" t="str">
        <f>'COMPUTATION SHEET'!AB56</f>
        <v xml:space="preserve"> 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5"/>
  <dimension ref="C5:M42"/>
  <sheetViews>
    <sheetView view="pageBreakPreview" topLeftCell="A22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FIELDS'!CB8," ",'INPUT FIELDS'!CB9," ",'INPUT FIELDS'!CB7)</f>
        <v xml:space="preserve">  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FIELDS'!CB7),":")</f>
        <v>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SHEET'!AA58</f>
        <v>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SHEET'!AC58</f>
        <v>0</v>
      </c>
      <c r="G25" s="301" t="s">
        <v>280</v>
      </c>
    </row>
    <row r="26" spans="3:13">
      <c r="C26" s="301" t="s">
        <v>279</v>
      </c>
      <c r="E26" s="301" t="s">
        <v>278</v>
      </c>
      <c r="F26" s="303" t="str">
        <f>'COMPUTATION SHEET'!AB58</f>
        <v xml:space="preserve"> 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6"/>
  <dimension ref="C5:M42"/>
  <sheetViews>
    <sheetView view="pageBreakPreview" topLeftCell="A15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FIELDS'!CD8," ",'INPUT FIELDS'!CD9," ",'INPUT FIELDS'!CD7)</f>
        <v xml:space="preserve">  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FIELDS'!CD7),":")</f>
        <v>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SHEET'!AA60</f>
        <v>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SHEET'!AC60</f>
        <v>0</v>
      </c>
      <c r="G25" s="301" t="s">
        <v>280</v>
      </c>
    </row>
    <row r="26" spans="3:13">
      <c r="C26" s="301" t="s">
        <v>279</v>
      </c>
      <c r="E26" s="301" t="s">
        <v>278</v>
      </c>
      <c r="F26" s="303" t="str">
        <f>'COMPUTATION SHEET'!AB60</f>
        <v xml:space="preserve"> 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7"/>
  <dimension ref="C5:M42"/>
  <sheetViews>
    <sheetView view="pageBreakPreview" zoomScaleSheetLayoutView="100" zoomScalePageLayoutView="50" workbookViewId="0">
      <selection activeCell="F24" sqref="F24"/>
    </sheetView>
  </sheetViews>
  <sheetFormatPr defaultColWidth="9.1796875" defaultRowHeight="14"/>
  <cols>
    <col min="1" max="1" width="9.1796875" style="301"/>
    <col min="2" max="2" width="4.81640625" style="301" customWidth="1"/>
    <col min="3" max="3" width="13.26953125" style="301" customWidth="1"/>
    <col min="4" max="4" width="1.81640625" style="301" customWidth="1"/>
    <col min="5" max="5" width="2" style="301" customWidth="1"/>
    <col min="6" max="6" width="17.26953125" style="301" customWidth="1"/>
    <col min="7" max="7" width="9.1796875" style="301"/>
    <col min="8" max="8" width="16.54296875" style="301" customWidth="1"/>
    <col min="9" max="9" width="14.26953125" style="301" bestFit="1" customWidth="1"/>
    <col min="10" max="10" width="9.1796875" style="301"/>
    <col min="11" max="11" width="2.453125" style="301" customWidth="1"/>
    <col min="12" max="12" width="10.1796875" style="301" bestFit="1" customWidth="1"/>
    <col min="13" max="16384" width="9.1796875" style="301"/>
  </cols>
  <sheetData>
    <row r="5" spans="3:11">
      <c r="F5" s="735" t="s">
        <v>292</v>
      </c>
      <c r="G5" s="735"/>
      <c r="H5" s="735"/>
      <c r="I5" s="735"/>
      <c r="J5" s="735"/>
      <c r="K5" s="735"/>
    </row>
    <row r="6" spans="3:11" ht="14.5" thickBot="1">
      <c r="F6" s="736"/>
      <c r="G6" s="736"/>
      <c r="H6" s="736"/>
      <c r="I6" s="736"/>
      <c r="J6" s="736"/>
      <c r="K6" s="736"/>
    </row>
    <row r="7" spans="3:11" ht="14.5" thickTop="1"/>
    <row r="9" spans="3:11">
      <c r="I9" s="308">
        <f ca="1">NOW()</f>
        <v>46084.282846759263</v>
      </c>
    </row>
    <row r="13" spans="3:11" ht="15">
      <c r="C13" s="305" t="str">
        <f>CONCATENATE('INPUT FIELDS'!CE8," ",'INPUT FIELDS'!CE9," ",'INPUT FIELDS'!CE7)</f>
        <v xml:space="preserve">  </v>
      </c>
    </row>
    <row r="14" spans="3:11">
      <c r="C14" s="301" t="s">
        <v>276</v>
      </c>
    </row>
    <row r="15" spans="3:11">
      <c r="C15" s="301" t="s">
        <v>293</v>
      </c>
    </row>
    <row r="18" spans="3:13">
      <c r="C18" s="301" t="s">
        <v>277</v>
      </c>
      <c r="D18" s="300" t="str">
        <f>CONCATENATE(PROPER('INPUT FIELDS'!CE7),":")</f>
        <v>:</v>
      </c>
    </row>
    <row r="19" spans="3:13">
      <c r="D19" s="300"/>
    </row>
    <row r="21" spans="3:13" ht="15.75" customHeight="1">
      <c r="C21" s="301" t="s">
        <v>290</v>
      </c>
      <c r="D21" s="304"/>
      <c r="E21" s="304"/>
      <c r="F21" s="304"/>
      <c r="G21" s="304"/>
      <c r="H21" s="304"/>
      <c r="I21" s="304"/>
      <c r="J21" s="304"/>
      <c r="K21" s="306"/>
      <c r="L21" s="307"/>
      <c r="M21" s="304"/>
    </row>
    <row r="22" spans="3:13">
      <c r="C22" s="302" t="s">
        <v>291</v>
      </c>
      <c r="D22" s="304"/>
      <c r="E22" s="304"/>
      <c r="F22" s="304"/>
      <c r="G22" s="304"/>
      <c r="H22" s="304"/>
      <c r="I22" s="304"/>
      <c r="J22" s="304"/>
      <c r="K22" s="304"/>
      <c r="L22" s="304"/>
      <c r="M22" s="304"/>
    </row>
    <row r="23" spans="3:13"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</row>
    <row r="24" spans="3:13">
      <c r="C24" s="304" t="s">
        <v>46</v>
      </c>
      <c r="D24" s="304"/>
      <c r="E24" s="304" t="s">
        <v>278</v>
      </c>
      <c r="F24" s="309">
        <f>'COMPUTATION SHEET'!AA62</f>
        <v>0</v>
      </c>
      <c r="G24" s="304"/>
      <c r="H24" s="304"/>
      <c r="I24" s="304"/>
      <c r="J24" s="304"/>
      <c r="K24" s="304"/>
      <c r="L24" s="304"/>
      <c r="M24" s="304"/>
    </row>
    <row r="25" spans="3:13">
      <c r="C25" s="301" t="s">
        <v>273</v>
      </c>
      <c r="E25" s="301" t="s">
        <v>278</v>
      </c>
      <c r="F25" s="302">
        <f>'COMPUTATION SHEET'!AC62</f>
        <v>0</v>
      </c>
      <c r="G25" s="301" t="s">
        <v>280</v>
      </c>
    </row>
    <row r="26" spans="3:13">
      <c r="C26" s="301" t="s">
        <v>279</v>
      </c>
      <c r="E26" s="301" t="s">
        <v>278</v>
      </c>
      <c r="F26" s="303" t="str">
        <f>'COMPUTATION SHEET'!AB62</f>
        <v xml:space="preserve"> </v>
      </c>
      <c r="G26" s="301" t="s">
        <v>281</v>
      </c>
    </row>
    <row r="27" spans="3:13">
      <c r="C27" s="301" t="s">
        <v>274</v>
      </c>
      <c r="E27" s="301" t="s">
        <v>278</v>
      </c>
      <c r="F27" s="302">
        <v>30</v>
      </c>
      <c r="G27" s="301" t="s">
        <v>282</v>
      </c>
    </row>
    <row r="28" spans="3:13">
      <c r="C28" s="301" t="s">
        <v>275</v>
      </c>
      <c r="E28" s="301" t="s">
        <v>278</v>
      </c>
      <c r="F28" s="301" t="s">
        <v>283</v>
      </c>
    </row>
    <row r="29" spans="3:13">
      <c r="F29" s="301" t="s">
        <v>284</v>
      </c>
    </row>
    <row r="31" spans="3:13">
      <c r="C31" s="302" t="s">
        <v>285</v>
      </c>
    </row>
    <row r="32" spans="3:13">
      <c r="C32" s="301" t="s">
        <v>286</v>
      </c>
    </row>
    <row r="34" spans="3:9">
      <c r="C34" s="301" t="s">
        <v>287</v>
      </c>
    </row>
    <row r="37" spans="3:9">
      <c r="I37" s="301" t="s">
        <v>288</v>
      </c>
    </row>
    <row r="41" spans="3:9">
      <c r="I41" s="300" t="s">
        <v>54</v>
      </c>
    </row>
    <row r="42" spans="3:9">
      <c r="I42" s="301" t="s">
        <v>289</v>
      </c>
    </row>
  </sheetData>
  <mergeCells count="1">
    <mergeCell ref="F5:K6"/>
  </mergeCells>
  <phoneticPr fontId="0" type="noConversion"/>
  <pageMargins left="0.7" right="0.7" top="0.75" bottom="0.75" header="0.3" footer="0.3"/>
  <pageSetup paperSize="9" scale="7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32</vt:i4>
      </vt:variant>
    </vt:vector>
  </HeadingPairs>
  <TitlesOfParts>
    <vt:vector size="67" baseType="lpstr">
      <vt:lpstr>GOV'T AGENCIES</vt:lpstr>
      <vt:lpstr>NEW BORROWER</vt:lpstr>
      <vt:lpstr>DAR</vt:lpstr>
      <vt:lpstr>GOV'T AGENCIES (2)</vt:lpstr>
      <vt:lpstr>WITH LOAN-TAKE-OUT</vt:lpstr>
      <vt:lpstr>LOANABLE AMOUNT-REGULAR</vt:lpstr>
      <vt:lpstr>LOANABLE AMOUNT- DAR</vt:lpstr>
      <vt:lpstr>Signatories</vt:lpstr>
      <vt:lpstr>INPUT FIELDS</vt:lpstr>
      <vt:lpstr>COMPUTATION SHEET</vt:lpstr>
      <vt:lpstr>RSLP - FORM A</vt:lpstr>
      <vt:lpstr>NFIS REQUEST</vt:lpstr>
      <vt:lpstr>3YR TERM</vt:lpstr>
      <vt:lpstr>2YR TERM</vt:lpstr>
      <vt:lpstr>1YR TERM</vt:lpstr>
      <vt:lpstr>NOTICE OF APPROVAL and PNs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'1YR TERM'!Print_Area</vt:lpstr>
      <vt:lpstr>'2'!Print_Area</vt:lpstr>
      <vt:lpstr>'20'!Print_Area</vt:lpstr>
      <vt:lpstr>'2YR TERM'!Print_Area</vt:lpstr>
      <vt:lpstr>'3'!Print_Area</vt:lpstr>
      <vt:lpstr>'3YR TERM'!Print_Area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'COMPUTATION SHEET'!Print_Area</vt:lpstr>
      <vt:lpstr>DAR!Print_Area</vt:lpstr>
      <vt:lpstr>'GOV''T AGENCIES'!Print_Area</vt:lpstr>
      <vt:lpstr>'GOV''T AGENCIES (2)'!Print_Area</vt:lpstr>
      <vt:lpstr>'LOANABLE AMOUNT- DAR'!Print_Area</vt:lpstr>
      <vt:lpstr>'LOANABLE AMOUNT-REGULAR'!Print_Area</vt:lpstr>
      <vt:lpstr>'NFIS REQUEST'!Print_Area</vt:lpstr>
      <vt:lpstr>'NOTICE OF APPROVAL and PNs'!Print_Area</vt:lpstr>
      <vt:lpstr>'RSLP - FORM A'!Print_Area</vt:lpstr>
      <vt:lpstr>'WITH LOAN-TAKE-OUT'!Print_Area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Helbert</dc:creator>
  <cp:lastModifiedBy>Arao-arao, Christian S</cp:lastModifiedBy>
  <cp:lastPrinted>2016-02-24T06:23:46Z</cp:lastPrinted>
  <dcterms:created xsi:type="dcterms:W3CDTF">2012-07-03T10:23:36Z</dcterms:created>
  <dcterms:modified xsi:type="dcterms:W3CDTF">2026-03-02T22:50:32Z</dcterms:modified>
</cp:coreProperties>
</file>